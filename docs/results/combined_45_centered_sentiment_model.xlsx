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7fdaf5f3f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Dashboard" sheetId="1" r:id="R3960784c58ee474c"/>
    <x:sheet xmlns:r="http://schemas.openxmlformats.org/officeDocument/2006/relationships" name="Opportunity_Ranking" sheetId="2" r:id="R24f4bf784d544c7d"/>
    <x:sheet xmlns:r="http://schemas.openxmlformats.org/officeDocument/2006/relationships" name="Fundamental_Model" sheetId="3" r:id="R55aca4e2a6aa4982"/>
    <x:sheet xmlns:r="http://schemas.openxmlformats.org/officeDocument/2006/relationships" name="News_Sentiment" sheetId="4" r:id="Rbf41167ea5774570"/>
    <x:sheet xmlns:r="http://schemas.openxmlformats.org/officeDocument/2006/relationships" name="Methodology" sheetId="5" r:id="R70e60783207f4618"/>
    <x:sheet xmlns:r="http://schemas.openxmlformats.org/officeDocument/2006/relationships" name="Source_Notes" sheetId="6" r:id="Ref7ac11f93e7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;[Red](0.0);-"/>
    <x:numFmt numFmtId="201" formatCode="$#,##0.00;[Red]($#,##0.00);-"/>
    <x:numFmt numFmtId="202" formatCode="0%"/>
    <x:numFmt numFmtId="203" formatCode="0.0%;[Red](0.0%);-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26332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B3A"/>
      </x:patternFill>
    </x:fill>
    <x:fill>
      <x:patternFill patternType="solid">
        <x:fgColor rgb="FFE8F0E5"/>
      </x:patternFill>
    </x:fill>
    <x:fill>
      <x:patternFill patternType="solid">
        <x:fgColor rgb="FFE8F0E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d6d5c63e034c6a" /><Relationship Type="http://schemas.openxmlformats.org/officeDocument/2006/relationships/theme" Target="/xl/theme/theme1.xml" Id="Rbbf3a3474e4b4a15" /><Relationship Type="http://schemas.openxmlformats.org/officeDocument/2006/relationships/sharedStrings" Target="/xl/sharedStrings.xml" Id="R49af7aa6527f420e" /><Relationship Type="http://schemas.openxmlformats.org/officeDocument/2006/relationships/worksheet" Target="/xl/worksheets/sheet1.xml" Id="R3960784c58ee474c" /><Relationship Type="http://schemas.openxmlformats.org/officeDocument/2006/relationships/worksheet" Target="/xl/worksheets/sheet2.xml" Id="R24f4bf784d544c7d" /><Relationship Type="http://schemas.openxmlformats.org/officeDocument/2006/relationships/worksheet" Target="/xl/worksheets/sheet3.xml" Id="R55aca4e2a6aa4982" /><Relationship Type="http://schemas.openxmlformats.org/officeDocument/2006/relationships/worksheet" Target="/xl/worksheets/sheet4.xml" Id="Rbf41167ea5774570" /><Relationship Type="http://schemas.openxmlformats.org/officeDocument/2006/relationships/worksheet" Target="/xl/worksheets/sheet5.xml" Id="R70e60783207f4618" /><Relationship Type="http://schemas.openxmlformats.org/officeDocument/2006/relationships/worksheet" Target="/xl/worksheets/sheet6.xml" Id="Ref7ac11f93e749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26d0f9c9b24157" /><Relationship Type="http://schemas.openxmlformats.org/officeDocument/2006/relationships/chart" Target="/xl/drawings/charts/chart2.xml" Id="R6e352ca2d13941b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Fundamental</c:v>
          </c:tx>
          <c:spPr>
            <a:solidFill xmlns:a="http://schemas.openxmlformats.org/drawingml/2006/main">
              <a:srgbClr val="5D7A61"/>
            </a:solidFill>
            <a:ln xmlns:a="http://schemas.openxmlformats.org/drawingml/2006/main" w="9525">
              <a:solidFill>
                <a:srgbClr val="244B3A"/>
              </a:solidFill>
              <a:prstDash val="solid"/>
            </a:ln>
          </c:spPr>
          <c:cat>
            <c:strLit>
              <c:ptCount val="12"/>
              <c:pt idx="0">
                <c:v>REGN</c:v>
              </c:pt>
              <c:pt idx="1">
                <c:v>META</c:v>
              </c:pt>
              <c:pt idx="2">
                <c:v>SNY</c:v>
              </c:pt>
              <c:pt idx="3">
                <c:v>RHHBY</c:v>
              </c:pt>
              <c:pt idx="4">
                <c:v>VRTX</c:v>
              </c:pt>
              <c:pt idx="5">
                <c:v>BMY</c:v>
              </c:pt>
              <c:pt idx="6">
                <c:v>NVDA</c:v>
              </c:pt>
              <c:pt idx="7">
                <c:v>AMGN</c:v>
              </c:pt>
              <c:pt idx="8">
                <c:v>TMO</c:v>
              </c:pt>
              <c:pt idx="9">
                <c:v>MSFT</c:v>
              </c:pt>
              <c:pt idx="10">
                <c:v>ABT</c:v>
              </c:pt>
              <c:pt idx="11">
                <c:v>ABBV</c:v>
              </c:pt>
            </c:strLit>
          </c:cat>
          <c:val>
            <c:numLit>
              <c:formatCode>0</c:formatCode>
              <c:ptCount val="12"/>
              <c:pt idx="0">
                <c:v>69.61905624260054</c:v>
              </c:pt>
              <c:pt idx="1">
                <c:v>66.188212177553</c:v>
              </c:pt>
              <c:pt idx="2">
                <c:v>65.96534455281443</c:v>
              </c:pt>
              <c:pt idx="3">
                <c:v>64.94507700670411</c:v>
              </c:pt>
              <c:pt idx="4">
                <c:v>62.484411576995804</c:v>
              </c:pt>
              <c:pt idx="5">
                <c:v>63.67426636055444</c:v>
              </c:pt>
              <c:pt idx="6">
                <c:v>61.920961730535524</c:v>
              </c:pt>
              <c:pt idx="7">
                <c:v>60.96529658400893</c:v>
              </c:pt>
              <c:pt idx="8">
                <c:v>60.81826360538751</c:v>
              </c:pt>
              <c:pt idx="9">
                <c:v>60.31340972050337</c:v>
              </c:pt>
              <c:pt idx="10">
                <c:v>60.460049028947395</c:v>
              </c:pt>
              <c:pt idx="11">
                <c:v>60.10240930796931</c:v>
              </c:pt>
            </c:numLit>
          </c:val>
        </c:ser>
        <c:ser>
          <c:idx val="1"/>
          <c:order val="1"/>
          <c:tx>
            <c:v>Opportunity</c:v>
          </c:tx>
          <c:spPr>
            <a:solidFill xmlns:a="http://schemas.openxmlformats.org/drawingml/2006/main">
              <a:srgbClr val="A9C2A3"/>
            </a:solidFill>
            <a:ln xmlns:a="http://schemas.openxmlformats.org/drawingml/2006/main" w="9525">
              <a:solidFill>
                <a:srgbClr val="5D7A61"/>
              </a:solidFill>
              <a:prstDash val="solid"/>
            </a:ln>
          </c:spPr>
          <c:cat>
            <c:strLit>
              <c:ptCount val="12"/>
              <c:pt idx="0">
                <c:v>REGN</c:v>
              </c:pt>
              <c:pt idx="1">
                <c:v>META</c:v>
              </c:pt>
              <c:pt idx="2">
                <c:v>SNY</c:v>
              </c:pt>
              <c:pt idx="3">
                <c:v>RHHBY</c:v>
              </c:pt>
              <c:pt idx="4">
                <c:v>VRTX</c:v>
              </c:pt>
              <c:pt idx="5">
                <c:v>BMY</c:v>
              </c:pt>
              <c:pt idx="6">
                <c:v>NVDA</c:v>
              </c:pt>
              <c:pt idx="7">
                <c:v>AMGN</c:v>
              </c:pt>
              <c:pt idx="8">
                <c:v>TMO</c:v>
              </c:pt>
              <c:pt idx="9">
                <c:v>MSFT</c:v>
              </c:pt>
              <c:pt idx="10">
                <c:v>ABT</c:v>
              </c:pt>
              <c:pt idx="11">
                <c:v>ABBV</c:v>
              </c:pt>
            </c:strLit>
          </c:cat>
          <c:val>
            <c:numLit>
              <c:formatCode>0</c:formatCode>
              <c:ptCount val="12"/>
              <c:pt idx="0">
                <c:v>70.59905624260054</c:v>
              </c:pt>
              <c:pt idx="1">
                <c:v>66.678212177553</c:v>
              </c:pt>
              <c:pt idx="2">
                <c:v>66.50084455281443</c:v>
              </c:pt>
              <c:pt idx="3">
                <c:v>66.0750770067041</c:v>
              </c:pt>
              <c:pt idx="4">
                <c:v>63.89441157699581</c:v>
              </c:pt>
              <c:pt idx="5">
                <c:v>63.874266360554444</c:v>
              </c:pt>
              <c:pt idx="6">
                <c:v>63.465961730535525</c:v>
              </c:pt>
              <c:pt idx="7">
                <c:v>61.44129658400893</c:v>
              </c:pt>
              <c:pt idx="8">
                <c:v>61.30826360538751</c:v>
              </c:pt>
              <c:pt idx="9">
                <c:v>61.219909720503374</c:v>
              </c:pt>
              <c:pt idx="10">
                <c:v>61.0900490289474</c:v>
              </c:pt>
              <c:pt idx="11">
                <c:v>60.75340930796931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Score (0-100)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Opportunity</c:v>
          </c:tx>
          <c:spPr>
            <a:solidFill xmlns:a="http://schemas.openxmlformats.org/drawingml/2006/main">
              <a:srgbClr val="5D7A61"/>
            </a:solidFill>
            <a:ln xmlns:a="http://schemas.openxmlformats.org/drawingml/2006/main" w="9525">
              <a:solidFill>
                <a:srgbClr val="244B3A"/>
              </a:solidFill>
              <a:prstDash val="solid"/>
            </a:ln>
          </c:spPr>
          <c:cat>
            <c:strLit>
              <c:ptCount val="12"/>
              <c:pt idx="0">
                <c:v>REGN</c:v>
              </c:pt>
              <c:pt idx="1">
                <c:v>META</c:v>
              </c:pt>
              <c:pt idx="2">
                <c:v>SNY</c:v>
              </c:pt>
              <c:pt idx="3">
                <c:v>RHHBY</c:v>
              </c:pt>
              <c:pt idx="4">
                <c:v>VRTX</c:v>
              </c:pt>
              <c:pt idx="5">
                <c:v>BMY</c:v>
              </c:pt>
              <c:pt idx="6">
                <c:v>NVDA</c:v>
              </c:pt>
              <c:pt idx="7">
                <c:v>AMGN</c:v>
              </c:pt>
              <c:pt idx="8">
                <c:v>TMO</c:v>
              </c:pt>
              <c:pt idx="9">
                <c:v>MSFT</c:v>
              </c:pt>
              <c:pt idx="10">
                <c:v>ABT</c:v>
              </c:pt>
              <c:pt idx="11">
                <c:v>ABBV</c:v>
              </c:pt>
            </c:strLit>
          </c:cat>
          <c:val>
            <c:numLit>
              <c:formatCode>0</c:formatCode>
              <c:ptCount val="12"/>
              <c:pt idx="0">
                <c:v>70.59905624260054</c:v>
              </c:pt>
              <c:pt idx="1">
                <c:v>66.678212177553</c:v>
              </c:pt>
              <c:pt idx="2">
                <c:v>66.50084455281443</c:v>
              </c:pt>
              <c:pt idx="3">
                <c:v>66.0750770067041</c:v>
              </c:pt>
              <c:pt idx="4">
                <c:v>63.89441157699581</c:v>
              </c:pt>
              <c:pt idx="5">
                <c:v>63.874266360554444</c:v>
              </c:pt>
              <c:pt idx="6">
                <c:v>63.465961730535525</c:v>
              </c:pt>
              <c:pt idx="7">
                <c:v>61.44129658400893</c:v>
              </c:pt>
              <c:pt idx="8">
                <c:v>61.30826360538751</c:v>
              </c:pt>
              <c:pt idx="9">
                <c:v>61.219909720503374</c:v>
              </c:pt>
              <c:pt idx="10">
                <c:v>61.0900490289474</c:v>
              </c:pt>
              <c:pt idx="11">
                <c:v>60.75340930796931</c:v>
              </c:pt>
            </c:numLit>
          </c:val>
        </c:ser>
        <c:ser>
          <c:idx val="1"/>
          <c:order val="1"/>
          <c:tx>
            <c:v>Catalyst Risk</c:v>
          </c:tx>
          <c:spPr>
            <a:solidFill xmlns:a="http://schemas.openxmlformats.org/drawingml/2006/main">
              <a:srgbClr val="D7B7A3"/>
            </a:solidFill>
            <a:ln xmlns:a="http://schemas.openxmlformats.org/drawingml/2006/main" w="9525">
              <a:solidFill>
                <a:srgbClr val="8C6958"/>
              </a:solidFill>
              <a:prstDash val="solid"/>
            </a:ln>
          </c:spPr>
          <c:cat>
            <c:strLit>
              <c:ptCount val="12"/>
              <c:pt idx="0">
                <c:v>REGN</c:v>
              </c:pt>
              <c:pt idx="1">
                <c:v>META</c:v>
              </c:pt>
              <c:pt idx="2">
                <c:v>SNY</c:v>
              </c:pt>
              <c:pt idx="3">
                <c:v>RHHBY</c:v>
              </c:pt>
              <c:pt idx="4">
                <c:v>VRTX</c:v>
              </c:pt>
              <c:pt idx="5">
                <c:v>BMY</c:v>
              </c:pt>
              <c:pt idx="6">
                <c:v>NVDA</c:v>
              </c:pt>
              <c:pt idx="7">
                <c:v>AMGN</c:v>
              </c:pt>
              <c:pt idx="8">
                <c:v>TMO</c:v>
              </c:pt>
              <c:pt idx="9">
                <c:v>MSFT</c:v>
              </c:pt>
              <c:pt idx="10">
                <c:v>ABT</c:v>
              </c:pt>
              <c:pt idx="11">
                <c:v>ABBV</c:v>
              </c:pt>
            </c:strLit>
          </c:cat>
          <c:val>
            <c:numLit>
              <c:formatCode>0</c:formatCode>
              <c:ptCount val="12"/>
              <c:pt idx="0">
                <c:v>70</c:v>
              </c:pt>
              <c:pt idx="1">
                <c:v>65</c:v>
              </c:pt>
              <c:pt idx="2">
                <c:v>60</c:v>
              </c:pt>
              <c:pt idx="3">
                <c:v>60</c:v>
              </c:pt>
              <c:pt idx="4">
                <c:v>80</c:v>
              </c:pt>
              <c:pt idx="5">
                <c:v>85</c:v>
              </c:pt>
              <c:pt idx="6">
                <c:v>65</c:v>
              </c:pt>
              <c:pt idx="7">
                <c:v>55</c:v>
              </c:pt>
              <c:pt idx="8">
                <c:v>40</c:v>
              </c:pt>
              <c:pt idx="9">
                <c:v>55</c:v>
              </c:pt>
              <c:pt idx="10">
                <c:v>45</c:v>
              </c:pt>
              <c:pt idx="11">
                <c:v>70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0–100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26d0f9c9b24157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352ca2d13941b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0af6f70fb6414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4" hidden="0" customWidth="1"/>
    <x:col min="5" max="5" width="15" hidden="0" customWidth="1"/>
    <x:col min="6" max="6" width="12" hidden="0" customWidth="1"/>
    <x:col min="7" max="7" width="12" hidden="0" customWidth="1"/>
    <x:col min="8" max="8" width="14" hidden="0" customWidth="1"/>
    <x:col min="9" max="9" width="13" hidden="0" customWidth="1"/>
    <x:col min="10" max="10" width="40" hidden="0" customWidth="1"/>
  </x:cols>
  <x:sheetData>
    <x:row r="1">
      <x:c r="A1" s="34" t="str">
        <x:v>45-Company Dashboard — Fundamental + Centered Sentiment Overlay</x:v>
      </x:c>
      <x:c r="B1" s="34"/>
      <x:c r="C1" s="34"/>
      <x:c r="D1" s="34"/>
      <x:c r="E1" s="34"/>
      <x:c r="F1" s="34"/>
      <x:c r="G1" s="34"/>
      <x:c r="H1" s="34"/>
      <x:c r="I1" s="34"/>
      <x:c r="J1" s="34"/>
    </x:row>
    <x:row r="2">
      <x:c r="A2" s="30" t="str">
        <x:v>Fundamental score is preserved. Sentiment adds/subtracts only relative to neutral 50, scaled by confidence and materiality, capped at ±2.5 points. Catalyst Risk remains a separate risk lens.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4">
      <x:c r="A4" s="9" t="str">
        <x:v>Best Opportunity</x:v>
      </x:c>
      <x:c r="B4" s="9" t="str">
        <x:v>Avg Fundamental</x:v>
      </x:c>
      <x:c r="C4" s="9" t="str">
        <x:v>Avg Opportunity</x:v>
      </x:c>
      <x:c r="D4" s="9" t="str">
        <x:v>Avg Sentiment</x:v>
      </x:c>
      <x:c r="E4" s="9" t="str">
        <x:v>Max Overlay</x:v>
      </x:c>
      <x:c r="F4" s="9" t="str">
        <x:v>Min Overlay</x:v>
      </x:c>
      <x:c r="G4" s="9" t="str">
        <x:v>High Catalyst Risk</x:v>
      </x:c>
      <x:c r="H4" s="9" t="str">
        <x:v>Neutral Impact</x:v>
      </x:c>
    </x:row>
    <x:row r="5">
      <x:c r="A5" t="str">
        <x:v>REGN — 70.6</x:v>
      </x:c>
      <x:c r="B5" s="16" t="n">
        <x:v>50.03571929114408</x:v>
      </x:c>
      <x:c r="C5" s="16" t="n">
        <x:v>50.69187818003297</x:v>
      </x:c>
      <x:c r="D5" s="16" t="n">
        <x:v>65.51855555555555</x:v>
      </x:c>
      <x:c r="E5" s="16" t="n">
        <x:v>1.7950000000000004</x:v>
      </x:c>
      <x:c r="F5" s="16" t="n">
        <x:v>-1.07</x:v>
      </x:c>
      <x:c r="G5" t="n">
        <x:v>13</x:v>
      </x:c>
      <x:c r="H5" t="n">
        <x:v>0</x:v>
      </x:c>
    </x:row>
    <x:row r="8">
      <x:c r="A8" s="9" t="str">
        <x:v>Rank</x:v>
      </x:c>
      <x:c r="B8" s="9" t="str">
        <x:v>Ticker</x:v>
      </x:c>
      <x:c r="C8" s="9" t="str">
        <x:v>Universe</x:v>
      </x:c>
      <x:c r="D8" s="9" t="str">
        <x:v>Fundamental</x:v>
      </x:c>
      <x:c r="E8" s="9" t="str">
        <x:v>Adj. Sentiment</x:v>
      </x:c>
      <x:c r="F8" s="9" t="str">
        <x:v>Materiality</x:v>
      </x:c>
      <x:c r="G8" s="9" t="str">
        <x:v>Overlay</x:v>
      </x:c>
      <x:c r="H8" s="9" t="str">
        <x:v>Opportunity</x:v>
      </x:c>
      <x:c r="I8" s="9" t="str">
        <x:v>Catalyst Risk</x:v>
      </x:c>
      <x:c r="J8" s="9" t="str">
        <x:v>Quadrant</x:v>
      </x:c>
    </x:row>
    <x:row r="9">
      <x:c r="A9" t="n">
        <x:v>1</x:v>
      </x:c>
      <x:c r="B9" t="str">
        <x:v>REGN</x:v>
      </x:c>
      <x:c r="C9" t="str">
        <x:v>Healthcare</x:v>
      </x:c>
      <x:c r="D9" s="16" t="n">
        <x:v>69.61905624260054</x:v>
      </x:c>
      <x:c r="E9" s="16" t="n">
        <x:v>69.6</x:v>
      </x:c>
      <x:c r="F9" s="16" t="str">
        <x:v>Major</x:v>
      </x:c>
      <x:c r="G9" s="16" t="n">
        <x:v>0.9799999999999998</x:v>
      </x:c>
      <x:c r="H9" s="16" t="n">
        <x:v>70.59905624260054</x:v>
      </x:c>
      <x:c r="I9" s="16" t="n">
        <x:v>70</x:v>
      </x:c>
      <x:c r="J9" t="str">
        <x:v>High Fundamentals / Positive Catalyst</x:v>
      </x:c>
    </x:row>
    <x:row r="10">
      <x:c r="A10" t="n">
        <x:v>2</x:v>
      </x:c>
      <x:c r="B10" t="str">
        <x:v>META</x:v>
      </x:c>
      <x:c r="C10" t="str">
        <x:v>QQQ</x:v>
      </x:c>
      <x:c r="D10" s="16" t="n">
        <x:v>66.188212177553</x:v>
      </x:c>
      <x:c r="E10" s="16" t="n">
        <x:v>59.8</x:v>
      </x:c>
      <x:c r="F10" s="16" t="str">
        <x:v>Major</x:v>
      </x:c>
      <x:c r="G10" s="16" t="n">
        <x:v>0.4899999999999999</x:v>
      </x:c>
      <x:c r="H10" s="16" t="n">
        <x:v>66.678212177553</x:v>
      </x:c>
      <x:c r="I10" s="16" t="n">
        <x:v>65</x:v>
      </x:c>
      <x:c r="J10" t="str">
        <x:v>High Fundamentals / Positive Catalyst</x:v>
      </x:c>
    </x:row>
    <x:row r="11">
      <x:c r="A11" t="n">
        <x:v>3</x:v>
      </x:c>
      <x:c r="B11" t="str">
        <x:v>SNY</x:v>
      </x:c>
      <x:c r="C11" t="str">
        <x:v>Healthcare</x:v>
      </x:c>
      <x:c r="D11" s="16" t="n">
        <x:v>65.96534455281443</x:v>
      </x:c>
      <x:c r="E11" s="16" t="n">
        <x:v>65.3</x:v>
      </x:c>
      <x:c r="F11" s="16" t="str">
        <x:v>Moderate</x:v>
      </x:c>
      <x:c r="G11" s="16" t="n">
        <x:v>0.5354999999999999</x:v>
      </x:c>
      <x:c r="H11" s="16" t="n">
        <x:v>66.50084455281443</x:v>
      </x:c>
      <x:c r="I11" s="16" t="n">
        <x:v>60</x:v>
      </x:c>
      <x:c r="J11" t="str">
        <x:v>High Fundamentals / Positive Catalyst</x:v>
      </x:c>
    </x:row>
    <x:row r="12">
      <x:c r="A12" t="n">
        <x:v>4</x:v>
      </x:c>
      <x:c r="B12" t="str">
        <x:v>RHHBY</x:v>
      </x:c>
      <x:c r="C12" t="str">
        <x:v>Healthcare</x:v>
      </x:c>
      <x:c r="D12" s="16" t="n">
        <x:v>64.94507700670411</x:v>
      </x:c>
      <x:c r="E12" s="16" t="n">
        <x:v>72.6</x:v>
      </x:c>
      <x:c r="F12" s="16" t="str">
        <x:v>Major</x:v>
      </x:c>
      <x:c r="G12" s="16" t="n">
        <x:v>1.1299999999999997</x:v>
      </x:c>
      <x:c r="H12" s="16" t="n">
        <x:v>66.0750770067041</x:v>
      </x:c>
      <x:c r="I12" s="16" t="n">
        <x:v>60</x:v>
      </x:c>
      <x:c r="J12" t="str">
        <x:v>High Fundamentals / Positive Catalyst</x:v>
      </x:c>
    </x:row>
    <x:row r="13">
      <x:c r="A13" t="n">
        <x:v>5</x:v>
      </x:c>
      <x:c r="B13" t="str">
        <x:v>VRTX</x:v>
      </x:c>
      <x:c r="C13" t="str">
        <x:v>Healthcare</x:v>
      </x:c>
      <x:c r="D13" s="16" t="n">
        <x:v>62.484411576995804</x:v>
      </x:c>
      <x:c r="E13" s="16" t="n">
        <x:v>78.2</x:v>
      </x:c>
      <x:c r="F13" s="16" t="str">
        <x:v>Major</x:v>
      </x:c>
      <x:c r="G13" s="16" t="n">
        <x:v>1.4100000000000001</x:v>
      </x:c>
      <x:c r="H13" s="16" t="n">
        <x:v>63.89441157699581</x:v>
      </x:c>
      <x:c r="I13" s="16" t="n">
        <x:v>80</x:v>
      </x:c>
      <x:c r="J13" t="str">
        <x:v>High Fundamentals / Positive Catalyst</x:v>
      </x:c>
    </x:row>
    <x:row r="14">
      <x:c r="A14" t="n">
        <x:v>6</x:v>
      </x:c>
      <x:c r="B14" t="str">
        <x:v>BMY</x:v>
      </x:c>
      <x:c r="C14" t="str">
        <x:v>Healthcare</x:v>
      </x:c>
      <x:c r="D14" s="16" t="n">
        <x:v>63.67426636055444</x:v>
      </x:c>
      <x:c r="E14" s="16" t="n">
        <x:v>54</x:v>
      </x:c>
      <x:c r="F14" s="16" t="str">
        <x:v>Major</x:v>
      </x:c>
      <x:c r="G14" s="16" t="n">
        <x:v>0.2</x:v>
      </x:c>
      <x:c r="H14" s="16" t="n">
        <x:v>63.874266360554444</x:v>
      </x:c>
      <x:c r="I14" s="16" t="n">
        <x:v>85</x:v>
      </x:c>
      <x:c r="J14" t="str">
        <x:v>Neutral / Watch</x:v>
      </x:c>
    </x:row>
    <x:row r="15">
      <x:c r="A15" t="n">
        <x:v>7</x:v>
      </x:c>
      <x:c r="B15" t="str">
        <x:v>NVDA</x:v>
      </x:c>
      <x:c r="C15" t="str">
        <x:v>QQQ</x:v>
      </x:c>
      <x:c r="D15" s="16" t="n">
        <x:v>61.920961730535524</x:v>
      </x:c>
      <x:c r="E15" s="16" t="n">
        <x:v>80.9</x:v>
      </x:c>
      <x:c r="F15" s="16" t="str">
        <x:v>Major</x:v>
      </x:c>
      <x:c r="G15" s="16" t="n">
        <x:v>1.5450000000000004</x:v>
      </x:c>
      <x:c r="H15" s="16" t="n">
        <x:v>63.465961730535525</x:v>
      </x:c>
      <x:c r="I15" s="16" t="n">
        <x:v>65</x:v>
      </x:c>
      <x:c r="J15" t="str">
        <x:v>High Fundamentals / Positive Catalyst</x:v>
      </x:c>
    </x:row>
    <x:row r="16">
      <x:c r="A16" t="n">
        <x:v>8</x:v>
      </x:c>
      <x:c r="B16" t="str">
        <x:v>AMGN</x:v>
      </x:c>
      <x:c r="C16" t="str">
        <x:v>Healthcare</x:v>
      </x:c>
      <x:c r="D16" s="16" t="n">
        <x:v>60.96529658400893</x:v>
      </x:c>
      <x:c r="E16" s="16" t="n">
        <x:v>63.6</x:v>
      </x:c>
      <x:c r="F16" s="16" t="str">
        <x:v>Moderate</x:v>
      </x:c>
      <x:c r="G16" s="16" t="n">
        <x:v>0.4760000000000001</x:v>
      </x:c>
      <x:c r="H16" s="16" t="n">
        <x:v>61.44129658400893</x:v>
      </x:c>
      <x:c r="I16" s="16" t="n">
        <x:v>55</x:v>
      </x:c>
      <x:c r="J16" t="str">
        <x:v>High Fundamentals / Positive Catalyst</x:v>
      </x:c>
    </x:row>
    <x:row r="17">
      <x:c r="A17" t="n">
        <x:v>9</x:v>
      </x:c>
      <x:c r="B17" t="str">
        <x:v>TMO</x:v>
      </x:c>
      <x:c r="C17" t="str">
        <x:v>Healthcare</x:v>
      </x:c>
      <x:c r="D17" s="16" t="n">
        <x:v>60.81826360538751</x:v>
      </x:c>
      <x:c r="E17" s="16" t="n">
        <x:v>64</x:v>
      </x:c>
      <x:c r="F17" s="16" t="str">
        <x:v>Moderate</x:v>
      </x:c>
      <x:c r="G17" s="16" t="n">
        <x:v>0.49</x:v>
      </x:c>
      <x:c r="H17" s="16" t="n">
        <x:v>61.30826360538751</x:v>
      </x:c>
      <x:c r="I17" s="16" t="n">
        <x:v>40</x:v>
      </x:c>
      <x:c r="J17" t="str">
        <x:v>High Fundamentals / Positive Catalyst</x:v>
      </x:c>
    </x:row>
    <x:row r="18">
      <x:c r="A18" t="n">
        <x:v>10</x:v>
      </x:c>
      <x:c r="B18" t="str">
        <x:v>MSFT</x:v>
      </x:c>
      <x:c r="C18" t="str">
        <x:v>QQQ</x:v>
      </x:c>
      <x:c r="D18" s="16" t="n">
        <x:v>60.31340972050337</x:v>
      </x:c>
      <x:c r="E18" s="16" t="n">
        <x:v>75.9</x:v>
      </x:c>
      <x:c r="F18" s="16" t="str">
        <x:v>Moderate</x:v>
      </x:c>
      <x:c r="G18" s="16" t="n">
        <x:v>0.9065000000000002</x:v>
      </x:c>
      <x:c r="H18" s="16" t="n">
        <x:v>61.219909720503374</x:v>
      </x:c>
      <x:c r="I18" s="16" t="n">
        <x:v>55</x:v>
      </x:c>
      <x:c r="J18" t="str">
        <x:v>High Fundamentals / Positive Catalyst</x:v>
      </x:c>
    </x:row>
    <x:row r="19">
      <x:c r="A19" t="n">
        <x:v>11</x:v>
      </x:c>
      <x:c r="B19" t="str">
        <x:v>ABT</x:v>
      </x:c>
      <x:c r="C19" t="str">
        <x:v>Healthcare</x:v>
      </x:c>
      <x:c r="D19" s="16" t="n">
        <x:v>60.460049028947395</x:v>
      </x:c>
      <x:c r="E19" s="16" t="n">
        <x:v>68</x:v>
      </x:c>
      <x:c r="F19" s="16" t="str">
        <x:v>Moderate</x:v>
      </x:c>
      <x:c r="G19" s="16" t="n">
        <x:v>0.63</x:v>
      </x:c>
      <x:c r="H19" s="16" t="n">
        <x:v>61.0900490289474</x:v>
      </x:c>
      <x:c r="I19" s="16" t="n">
        <x:v>45</x:v>
      </x:c>
      <x:c r="J19" t="str">
        <x:v>High Fundamentals / Positive Catalyst</x:v>
      </x:c>
    </x:row>
    <x:row r="20">
      <x:c r="A20" t="n">
        <x:v>12</x:v>
      </x:c>
      <x:c r="B20" t="str">
        <x:v>ABBV</x:v>
      </x:c>
      <x:c r="C20" t="str">
        <x:v>Healthcare</x:v>
      </x:c>
      <x:c r="D20" s="16" t="n">
        <x:v>60.10240930796931</x:v>
      </x:c>
      <x:c r="E20" s="16" t="n">
        <x:v>68.6</x:v>
      </x:c>
      <x:c r="F20" s="16" t="str">
        <x:v>Moderate</x:v>
      </x:c>
      <x:c r="G20" s="16" t="n">
        <x:v>0.6509999999999998</x:v>
      </x:c>
      <x:c r="H20" s="16" t="n">
        <x:v>60.75340930796931</x:v>
      </x:c>
      <x:c r="I20" s="16" t="n">
        <x:v>70</x:v>
      </x:c>
      <x:c r="J20" t="str">
        <x:v>High Fundamentals / Positive Catalyst</x:v>
      </x:c>
    </x:row>
    <x:row r="21">
      <x:c r="A21" t="n">
        <x:v>13</x:v>
      </x:c>
      <x:c r="B21" t="str">
        <x:v>GSK</x:v>
      </x:c>
      <x:c r="C21" t="str">
        <x:v>Healthcare</x:v>
      </x:c>
      <x:c r="D21" s="16" t="n">
        <x:v>59.483593214145166</x:v>
      </x:c>
      <x:c r="E21" s="16" t="n">
        <x:v>65</x:v>
      </x:c>
      <x:c r="F21" s="16" t="str">
        <x:v>Moderate</x:v>
      </x:c>
      <x:c r="G21" s="16" t="n">
        <x:v>0.5249999999999999</x:v>
      </x:c>
      <x:c r="H21" s="16" t="n">
        <x:v>60.008593214145165</x:v>
      </x:c>
      <x:c r="I21" s="16" t="n">
        <x:v>70</x:v>
      </x:c>
      <x:c r="J21" t="str">
        <x:v>High Fundamentals / Positive Catalyst</x:v>
      </x:c>
    </x:row>
    <x:row r="22">
      <x:c r="A22" t="n">
        <x:v>14</x:v>
      </x:c>
      <x:c r="B22" t="str">
        <x:v>NVS</x:v>
      </x:c>
      <x:c r="C22" t="str">
        <x:v>Healthcare</x:v>
      </x:c>
      <x:c r="D22" s="16" t="n">
        <x:v>58.64553407636508</x:v>
      </x:c>
      <x:c r="E22" s="16" t="n">
        <x:v>60.4</x:v>
      </x:c>
      <x:c r="F22" s="16" t="str">
        <x:v>Major</x:v>
      </x:c>
      <x:c r="G22" s="16" t="n">
        <x:v>0.5199999999999999</x:v>
      </x:c>
      <x:c r="H22" s="16" t="n">
        <x:v>59.165534076365084</x:v>
      </x:c>
      <x:c r="I22" s="16" t="n">
        <x:v>90</x:v>
      </x:c>
      <x:c r="J22" t="str">
        <x:v>High Fundamentals / Positive Catalyst</x:v>
      </x:c>
    </x:row>
    <x:row r="23">
      <x:c r="A23" t="n">
        <x:v>15</x:v>
      </x:c>
      <x:c r="B23" t="str">
        <x:v>PFE</x:v>
      </x:c>
      <x:c r="C23" t="str">
        <x:v>Healthcare</x:v>
      </x:c>
      <x:c r="D23" s="16" t="n">
        <x:v>58.23311848559166</x:v>
      </x:c>
      <x:c r="E23" s="16" t="n">
        <x:v>55.95</x:v>
      </x:c>
      <x:c r="F23" s="16" t="str">
        <x:v>Moderate</x:v>
      </x:c>
      <x:c r="G23" s="16" t="n">
        <x:v>0.2082500000000001</x:v>
      </x:c>
      <x:c r="H23" s="16" t="n">
        <x:v>58.44136848559166</x:v>
      </x:c>
      <x:c r="I23" s="16" t="n">
        <x:v>45</x:v>
      </x:c>
      <x:c r="J23" t="str">
        <x:v>High Fundamentals / Positive Catalyst</x:v>
      </x:c>
    </x:row>
    <x:row r="26">
      <x:c r="L26" t="str">
        <x:v>Ticker</x:v>
      </x:c>
      <x:c r="M26" t="str">
        <x:v>Fundamental</x:v>
      </x:c>
      <x:c r="N26" t="str">
        <x:v>Opportunity</x:v>
      </x:c>
      <x:c r="P26" t="str">
        <x:v>QQQ Fundamental</x:v>
      </x:c>
      <x:c r="Q26" t="str">
        <x:v>QQQ Sentiment</x:v>
      </x:c>
      <x:c r="R26" t="str">
        <x:v>HC Fundamental</x:v>
      </x:c>
      <x:c r="S26" t="str">
        <x:v>HC Sentiment</x:v>
      </x:c>
    </x:row>
    <x:row r="27">
      <x:c r="L27" t="str">
        <x:v>REGN</x:v>
      </x:c>
      <x:c r="M27" t="n">
        <x:v>69.61905624260054</x:v>
      </x:c>
      <x:c r="N27" t="n">
        <x:v>70.59905624260054</x:v>
      </x:c>
      <x:c r="P27" t="n">
        <x:v>66.188212177553</x:v>
      </x:c>
      <x:c r="Q27" t="n">
        <x:v>59.8</x:v>
      </x:c>
      <x:c r="R27" t="n">
        <x:v>69.61905624260054</x:v>
      </x:c>
      <x:c r="S27" t="n">
        <x:v>69.6</x:v>
      </x:c>
    </x:row>
    <x:row r="28">
      <x:c r="L28" t="str">
        <x:v>META</x:v>
      </x:c>
      <x:c r="M28" t="n">
        <x:v>66.188212177553</x:v>
      </x:c>
      <x:c r="N28" t="n">
        <x:v>66.678212177553</x:v>
      </x:c>
      <x:c r="P28" t="n">
        <x:v>61.920961730535524</x:v>
      </x:c>
      <x:c r="Q28" t="n">
        <x:v>80.9</x:v>
      </x:c>
      <x:c r="R28" t="n">
        <x:v>65.96534455281443</x:v>
      </x:c>
      <x:c r="S28" t="n">
        <x:v>65.3</x:v>
      </x:c>
    </x:row>
    <x:row r="29">
      <x:c r="L29" t="str">
        <x:v>SNY</x:v>
      </x:c>
      <x:c r="M29" t="n">
        <x:v>65.96534455281443</x:v>
      </x:c>
      <x:c r="N29" t="n">
        <x:v>66.50084455281443</x:v>
      </x:c>
      <x:c r="P29" t="n">
        <x:v>60.31340972050337</x:v>
      </x:c>
      <x:c r="Q29" t="n">
        <x:v>75.9</x:v>
      </x:c>
      <x:c r="R29" t="n">
        <x:v>64.94507700670411</x:v>
      </x:c>
      <x:c r="S29" t="n">
        <x:v>72.6</x:v>
      </x:c>
    </x:row>
    <x:row r="30">
      <x:c r="L30" t="str">
        <x:v>RHHBY</x:v>
      </x:c>
      <x:c r="M30" t="n">
        <x:v>64.94507700670411</x:v>
      </x:c>
      <x:c r="N30" t="n">
        <x:v>66.0750770067041</x:v>
      </x:c>
      <x:c r="P30" t="n">
        <x:v>53.51628305129378</x:v>
      </x:c>
      <x:c r="Q30" t="n">
        <x:v>58.599999999999994</x:v>
      </x:c>
      <x:c r="R30" t="n">
        <x:v>62.484411576995804</x:v>
      </x:c>
      <x:c r="S30" t="n">
        <x:v>78.2</x:v>
      </x:c>
    </x:row>
    <x:row r="31">
      <x:c r="L31" t="str">
        <x:v>VRTX</x:v>
      </x:c>
      <x:c r="M31" t="n">
        <x:v>62.484411576995804</x:v>
      </x:c>
      <x:c r="N31" t="n">
        <x:v>63.89441157699581</x:v>
      </x:c>
      <x:c r="P31" t="n">
        <x:v>53.56382778847658</x:v>
      </x:c>
      <x:c r="Q31" t="n">
        <x:v>39</x:v>
      </x:c>
      <x:c r="R31" t="n">
        <x:v>63.67426636055444</x:v>
      </x:c>
      <x:c r="S31" t="n">
        <x:v>54</x:v>
      </x:c>
    </x:row>
    <x:row r="32">
      <x:c r="L32" t="str">
        <x:v>BMY</x:v>
      </x:c>
      <x:c r="M32" t="n">
        <x:v>63.67426636055444</x:v>
      </x:c>
      <x:c r="N32" t="n">
        <x:v>63.874266360554444</x:v>
      </x:c>
      <x:c r="P32" t="n">
        <x:v>51.47914321883504</x:v>
      </x:c>
      <x:c r="Q32" t="n">
        <x:v>73.7</x:v>
      </x:c>
      <x:c r="R32" t="n">
        <x:v>60.96529658400893</x:v>
      </x:c>
      <x:c r="S32" t="n">
        <x:v>63.6</x:v>
      </x:c>
    </x:row>
    <x:row r="33">
      <x:c r="L33" t="str">
        <x:v>NVDA</x:v>
      </x:c>
      <x:c r="M33" t="n">
        <x:v>61.920961730535524</x:v>
      </x:c>
      <x:c r="N33" t="n">
        <x:v>63.465961730535525</x:v>
      </x:c>
      <x:c r="P33" t="n">
        <x:v>49.453304406408336</x:v>
      </x:c>
      <x:c r="Q33" t="n">
        <x:v>62.099999999999994</x:v>
      </x:c>
      <x:c r="R33" t="n">
        <x:v>60.81826360538751</x:v>
      </x:c>
      <x:c r="S33" t="n">
        <x:v>64</x:v>
      </x:c>
    </x:row>
    <x:row r="34">
      <x:c r="L34" t="str">
        <x:v>AMGN</x:v>
      </x:c>
      <x:c r="M34" t="n">
        <x:v>60.96529658400893</x:v>
      </x:c>
      <x:c r="N34" t="n">
        <x:v>61.44129658400893</x:v>
      </x:c>
      <x:c r="P34" t="n">
        <x:v>49.1134458023172</x:v>
      </x:c>
      <x:c r="Q34" t="n">
        <x:v>64.5</x:v>
      </x:c>
      <x:c r="R34" t="n">
        <x:v>60.460049028947395</x:v>
      </x:c>
      <x:c r="S34" t="n">
        <x:v>68</x:v>
      </x:c>
    </x:row>
    <x:row r="35">
      <x:c r="L35" t="str">
        <x:v>TMO</x:v>
      </x:c>
      <x:c r="M35" t="n">
        <x:v>60.81826360538751</x:v>
      </x:c>
      <x:c r="N35" t="n">
        <x:v>61.30826360538751</x:v>
      </x:c>
      <x:c r="P35" t="n">
        <x:v>47.27893063586772</x:v>
      </x:c>
      <x:c r="Q35" t="n">
        <x:v>64.025</x:v>
      </x:c>
      <x:c r="R35" t="n">
        <x:v>60.10240930796931</x:v>
      </x:c>
      <x:c r="S35" t="n">
        <x:v>68.6</x:v>
      </x:c>
    </x:row>
    <x:row r="36">
      <x:c r="L36" t="str">
        <x:v>MSFT</x:v>
      </x:c>
      <x:c r="M36" t="n">
        <x:v>60.31340972050337</x:v>
      </x:c>
      <x:c r="N36" t="n">
        <x:v>61.219909720503374</x:v>
      </x:c>
      <x:c r="P36" t="n">
        <x:v>40.89334290790377</x:v>
      </x:c>
      <x:c r="Q36" t="n">
        <x:v>60</x:v>
      </x:c>
      <x:c r="R36" t="n">
        <x:v>59.483593214145166</x:v>
      </x:c>
      <x:c r="S36" t="n">
        <x:v>65</x:v>
      </x:c>
    </x:row>
    <x:row r="37">
      <x:c r="L37" t="str">
        <x:v>ABT</x:v>
      </x:c>
      <x:c r="M37" t="n">
        <x:v>60.460049028947395</x:v>
      </x:c>
      <x:c r="N37" t="n">
        <x:v>61.0900490289474</x:v>
      </x:c>
      <x:c r="P37" t="n">
        <x:v>40.11796713382427</x:v>
      </x:c>
      <x:c r="Q37" t="n">
        <x:v>71</x:v>
      </x:c>
      <x:c r="R37" t="n">
        <x:v>58.64553407636508</x:v>
      </x:c>
      <x:c r="S37" t="n">
        <x:v>60.4</x:v>
      </x:c>
    </x:row>
    <x:row r="38">
      <x:c r="L38" t="str">
        <x:v>ABBV</x:v>
      </x:c>
      <x:c r="M38" t="n">
        <x:v>60.10240930796931</x:v>
      </x:c>
      <x:c r="N38" t="n">
        <x:v>60.75340930796931</x:v>
      </x:c>
      <x:c r="P38" t="n">
        <x:v>38.496211090909085</x:v>
      </x:c>
      <x:c r="Q38" t="n">
        <x:v>77.6</x:v>
      </x:c>
      <x:c r="R38" t="n">
        <x:v>58.23311848559166</x:v>
      </x:c>
      <x:c r="S38" t="n">
        <x:v>55.95</x:v>
      </x:c>
    </x:row>
    <x:row r="39">
      <x:c r="P39" t="n">
        <x:v>36.7730978054425</x:v>
      </x:c>
      <x:c r="Q39" t="n">
        <x:v>80</x:v>
      </x:c>
      <x:c r="R39" t="n">
        <x:v>56.89128997544417</x:v>
      </x:c>
      <x:c r="S39" t="n">
        <x:v>74.8</x:v>
      </x:c>
    </x:row>
    <x:row r="40">
      <x:c r="L40" s="39" t="str">
        <x:v>Use the Quadrant column for the fundamentals-vs-sentiment view; Catalyst Risk is direction-neutral and is not included in Opportunity Score.</x:v>
      </x:c>
      <x:c r="M40" s="39"/>
      <x:c r="N40" s="39"/>
      <x:c r="O40" s="39"/>
      <x:c r="P40" s="39" t="n">
        <x:v>29.505223106144822</x:v>
      </x:c>
      <x:c r="Q40" s="39" t="n">
        <x:v>85.9</x:v>
      </x:c>
      <x:c r="R40" s="39" t="n">
        <x:v>56.70238889601046</x:v>
      </x:c>
      <x:c r="S40" s="39" t="n">
        <x:v>77.6</x:v>
      </x:c>
      <x:c r="T40" s="39"/>
    </x:row>
    <x:row r="41">
      <x:c r="L41" s="39"/>
      <x:c r="M41" s="39"/>
      <x:c r="N41" s="39"/>
      <x:c r="O41" s="39"/>
      <x:c r="P41" s="39" t="n">
        <x:v>30.182811252288587</x:v>
      </x:c>
      <x:c r="Q41" s="39" t="n">
        <x:v>61.05</x:v>
      </x:c>
      <x:c r="R41" s="39" t="n">
        <x:v>56.67384357878354</x:v>
      </x:c>
      <x:c r="S41" s="39" t="n">
        <x:v>75</x:v>
      </x:c>
      <x:c r="T41" s="39"/>
    </x:row>
    <x:row r="42">
      <x:c r="P42" t="n">
        <x:v>30.053459885133872</x:v>
      </x:c>
      <x:c r="Q42" t="n">
        <x:v>54.335</x:v>
      </x:c>
      <x:c r="R42" t="n">
        <x:v>57.01355694090789</x:v>
      </x:c>
      <x:c r="S42" t="n">
        <x:v>74.4</x:v>
      </x:c>
    </x:row>
    <x:row r="43">
      <x:c r="P43" t="n">
        <x:v>27.945802478164687</x:v>
      </x:c>
      <x:c r="Q43" t="n">
        <x:v>80</x:v>
      </x:c>
      <x:c r="R43" t="n">
        <x:v>55.82537515786346</x:v>
      </x:c>
      <x:c r="S43" t="n">
        <x:v>74.6</x:v>
      </x:c>
    </x:row>
    <x:row r="44">
      <x:c r="P44" t="n">
        <x:v>28.38698258391608</x:v>
      </x:c>
      <x:c r="Q44" t="n">
        <x:v>37</x:v>
      </x:c>
      <x:c r="R44" t="n">
        <x:v>54.47507999431238</x:v>
      </x:c>
      <x:c r="S44" t="n">
        <x:v>75</x:v>
      </x:c>
    </x:row>
    <x:row r="45">
      <x:c r="P45" t="n">
        <x:v>25.913149838396897</x:v>
      </x:c>
      <x:c r="Q45" t="n">
        <x:v>73.1</x:v>
      </x:c>
      <x:c r="R45" t="n">
        <x:v>56.30762418955742</x:v>
      </x:c>
      <x:c r="S45" t="n">
        <x:v>28.6</x:v>
      </x:c>
    </x:row>
    <x:row r="46">
      <x:c r="P46" t="n">
        <x:v>19.809799411764704</x:v>
      </x:c>
      <x:c r="Q46" t="n">
        <x:v>53.5</x:v>
      </x:c>
      <x:c r="R46" t="n">
        <x:v>52.47156417563092</x:v>
      </x:c>
      <x:c r="S46" t="n">
        <x:v>49.5</x:v>
      </x:c>
    </x:row>
    <x:row r="47">
      <x:c r="P47"/>
      <x:c r="Q47"/>
      <x:c r="R47" t="n">
        <x:v>50.886038893269635</x:v>
      </x:c>
      <x:c r="S47" t="n">
        <x:v>65.3</x:v>
      </x:c>
    </x:row>
    <x:row r="48">
      <x:c r="P48"/>
      <x:c r="Q48"/>
      <x:c r="R48" t="n">
        <x:v>46.88816448441003</x:v>
      </x:c>
      <x:c r="S48" t="n">
        <x:v>62.665000000000006</x:v>
      </x:c>
    </x:row>
    <x:row r="49">
      <x:c r="P49"/>
      <x:c r="Q49"/>
      <x:c r="R49" t="n">
        <x:v>44.218379184874465</x:v>
      </x:c>
      <x:c r="S49" t="n">
        <x:v>73.5</x:v>
      </x:c>
    </x:row>
    <x:row r="50">
      <x:c r="P50"/>
      <x:c r="Q50"/>
      <x:c r="R50" t="n">
        <x:v>38.81587627156126</x:v>
      </x:c>
      <x:c r="S50" t="n">
        <x:v>67.50999999999999</x:v>
      </x:c>
    </x:row>
    <x:row r="51">
      <x:c r="P51"/>
      <x:c r="Q51"/>
      <x:c r="R51" t="n">
        <x:v>38.136400291094</x:v>
      </x:c>
      <x:c r="S51" t="n">
        <x:v>52.6</x:v>
      </x:c>
    </x:row>
  </x:sheetData>
  <x:mergeCells>
    <x:mergeCell ref="A1:J1"/>
    <x:mergeCell ref="A2:J2"/>
    <x:mergeCell ref="L40:T41"/>
  </x:mergeCells>
  <x:conditionalFormatting sqref="E9:E23">
    <x:cfRule type="colorScale" priority="1">
      <x:colorScale>
        <x:cfvo type="min"/>
        <x:cfvo type="percentile" val="50"/>
        <x:cfvo type="max"/>
        <x:color rgb="FFD7B7A3"/>
        <x:color rgb="FFF7F6EF"/>
        <x:color rgb="FFA9C2A3"/>
      </x:colorScale>
    </x:cfRule>
  </x:conditionalFormatting>
  <x:conditionalFormatting sqref="G9:G23">
    <x:cfRule type="colorScale" priority="2">
      <x:colorScale>
        <x:cfvo type="min"/>
        <x:cfvo type="percentile" val="50"/>
        <x:cfvo type="max"/>
        <x:color rgb="FFD7B7A3"/>
        <x:color rgb="FFF7F6EF"/>
        <x:color rgb="FFA9C2A3"/>
      </x:colorScale>
    </x:cfRule>
  </x:conditionalFormatting>
  <x:conditionalFormatting sqref="H9:H23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{91095EFB-0F42-2EBF-1452-D7937BA67BFE}</x14:id>
        </x:ext>
      </x:extLst>
    </x:cfRule>
  </x:conditionalFormatting>
  <x:conditionalFormatting sqref="I9:I23">
    <x:cfRule type="colorScale" priority="4">
      <x:colorScale>
        <x:cfvo type="min"/>
        <x:cfvo type="percentile" val="50"/>
        <x:cfvo type="max"/>
        <x:color rgb="FFA9C2A3"/>
        <x:color rgb="FFEFE5D2"/>
        <x:color rgb="FFD7B7A3"/>
      </x:colorScale>
    </x:cfRule>
  </x:conditionalFormatting>
  <x:pageMargins left="0.7" right="0.7" top="0.75" bottom="0.75" header="0.3" footer="0.3"/>
  <x:drawing xmlns:r="http://schemas.openxmlformats.org/officeDocument/2006/relationships" r:id="R6f0af6f70fb6414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91095EFB-0F42-2EBF-1452-D7937BA67BFE}">
            <x14:dataBar gradient="1">
              <x14:cfvo type="min"/>
              <x14:cfvo type="max"/>
              <x14:fillColor rgb="FFA02B93"/>
            </x14:dataBar>
          </x14:cfRule>
          <xm:sqref>H9:H23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9" hidden="0" customWidth="1"/>
    <x:col min="4" max="4" width="25" hidden="0" customWidth="1"/>
    <x:col min="5" max="5" width="10" hidden="0" customWidth="1"/>
    <x:col min="6" max="6" width="14" hidden="0" customWidth="1"/>
    <x:col min="7" max="7" width="8" hidden="0" customWidth="1"/>
    <x:col min="8" max="8" width="8" hidden="0" customWidth="1"/>
    <x:col min="9" max="9" width="8" hidden="0" customWidth="1"/>
    <x:col min="10" max="10" width="15" hidden="0" customWidth="1"/>
    <x:col min="11" max="11" width="11" hidden="0" customWidth="1"/>
    <x:col min="12" max="12" width="12" hidden="0" customWidth="1"/>
    <x:col min="13" max="13" width="13" hidden="0" customWidth="1"/>
    <x:col min="14" max="14" width="15" hidden="0" customWidth="1"/>
    <x:col min="15" max="15" width="14" hidden="0" customWidth="1"/>
    <x:col min="16" max="16" width="12" hidden="0" customWidth="1"/>
    <x:col min="17" max="17" width="38" hidden="0" customWidth="1"/>
    <x:col min="18" max="18" width="10" hidden="0" customWidth="1"/>
    <x:col min="19" max="19" width="10" hidden="0" customWidth="1"/>
    <x:col min="20" max="20" width="10" hidden="0" customWidth="1"/>
    <x:col min="21" max="21" width="16" hidden="0" customWidth="1"/>
    <x:col min="22" max="22" width="14" hidden="0" customWidth="1"/>
    <x:col min="23" max="23" width="13" hidden="0" customWidth="1"/>
    <x:col min="24" max="24" width="48" hidden="0" customWidth="1"/>
  </x:cols>
  <x:sheetData>
    <x:row r="1">
      <x:c r="A1" s="34" t="str">
        <x:v>45-Company Opportunity Ranking — Centered Sentiment Overlay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</x:row>
    <x:row r="2">
      <x:c r="A2" s="30" t="str">
        <x:v>Opportunity Score = Fundamental Integrated + capped centered sentiment overlay. Neutral sentiment (50) has exactly zero impact. Catalyst Risk is displayed separately and does not mechanically reduce the score.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</x:row>
    <x:row r="4">
      <x:c r="A4" s="9" t="str">
        <x:v>Rank</x:v>
      </x:c>
      <x:c r="B4" s="9" t="str">
        <x:v>Universe</x:v>
      </x:c>
      <x:c r="C4" s="9" t="str">
        <x:v>Ticker</x:v>
      </x:c>
      <x:c r="D4" s="9" t="str">
        <x:v>Company</x:v>
      </x:c>
      <x:c r="E4" s="9" t="str">
        <x:v>Coverage</x:v>
      </x:c>
      <x:c r="F4" s="9" t="str">
        <x:v>Fundamental Score</x:v>
      </x:c>
      <x:c r="G4" s="9" t="str">
        <x:v>7D</x:v>
      </x:c>
      <x:c r="H4" s="9" t="str">
        <x:v>30D</x:v>
      </x:c>
      <x:c r="I4" s="9" t="str">
        <x:v>90D</x:v>
      </x:c>
      <x:c r="J4" s="9" t="str">
        <x:v>Adjusted Sentiment</x:v>
      </x:c>
      <x:c r="K4" s="9" t="str">
        <x:v>Momentum</x:v>
      </x:c>
      <x:c r="L4" s="9" t="str">
        <x:v>Materiality</x:v>
      </x:c>
      <x:c r="M4" s="9" t="str">
        <x:v>Overlay Points</x:v>
      </x:c>
      <x:c r="N4" s="9" t="str">
        <x:v>Opportunity Score</x:v>
      </x:c>
      <x:c r="O4" s="9" t="str">
        <x:v>Rank Change vs Fundamental</x:v>
      </x:c>
      <x:c r="P4" s="9" t="str">
        <x:v>Catalyst Risk</x:v>
      </x:c>
      <x:c r="Q4" s="9" t="str">
        <x:v>Quadrant</x:v>
      </x:c>
      <x:c r="R4" s="9" t="str">
        <x:v>Bear %</x:v>
      </x:c>
      <x:c r="S4" s="9" t="str">
        <x:v>Base %</x:v>
      </x:c>
      <x:c r="T4" s="9" t="str">
        <x:v>Bull %</x:v>
      </x:c>
      <x:c r="U4" s="9" t="str">
        <x:v>Guidance Credibility</x:v>
      </x:c>
      <x:c r="V4" s="9" t="str">
        <x:v>Confidence</x:v>
      </x:c>
      <x:c r="W4" s="9" t="str">
        <x:v>Scenario Score</x:v>
      </x:c>
      <x:c r="X4" s="9" t="str">
        <x:v>Key Catalyst</x:v>
      </x:c>
    </x:row>
    <x:row r="5">
      <x:c r="A5" t="n">
        <x:v>1</x:v>
      </x:c>
      <x:c r="B5" t="str">
        <x:v>Healthcare</x:v>
      </x:c>
      <x:c r="C5" t="str">
        <x:v>REGN</x:v>
      </x:c>
      <x:c r="D5" t="str">
        <x:v>Regeneron</x:v>
      </x:c>
      <x:c r="E5" t="str">
        <x:v>B</x:v>
      </x:c>
      <x:c r="F5" s="16" t="n">
        <x:v>69.61905624260054</x:v>
      </x:c>
      <x:c r="G5" s="16" t="n">
        <x:v>60</x:v>
      </x:c>
      <x:c r="H5" s="16" t="n">
        <x:v>72</x:v>
      </x:c>
      <x:c r="I5" s="16" t="n">
        <x:v>72</x:v>
      </x:c>
      <x:c r="J5" s="16" t="n">
        <x:v>69.6</x:v>
      </x:c>
      <x:c r="K5" s="16" t="n">
        <x:v>-12</x:v>
      </x:c>
      <x:c r="L5" s="16" t="str">
        <x:v>Major</x:v>
      </x:c>
      <x:c r="M5" s="16" t="n">
        <x:v>0.9799999999999998</x:v>
      </x:c>
      <x:c r="N5" s="16" t="n">
        <x:v>70.59905624260054</x:v>
      </x:c>
      <x:c r="O5" t="n">
        <x:v>0</x:v>
      </x:c>
      <x:c r="P5" s="16" t="n">
        <x:v>70</x:v>
      </x:c>
      <x:c r="Q5" t="str">
        <x:v>High Fundamentals / Positive Catalyst</x:v>
      </x:c>
      <x:c r="R5" s="22" t="n">
        <x:v>-0.16559513466550824</x:v>
      </x:c>
      <x:c r="S5" s="22" t="n">
        <x:v>0.1355022097986629</x:v>
      </x:c>
      <x:c r="T5" s="22" t="n">
        <x:v>0.40512094083279804</x:v>
      </x:c>
      <x:c r="U5" s="16"/>
      <x:c r="V5" t="str">
        <x:v>N/A</x:v>
      </x:c>
      <x:c r="W5" s="16" t="n">
        <x:v>48.30479122484184</x:v>
      </x:c>
      <x:c r="X5" t="str">
        <x:v>Strong Q2 growth; FDA gene-therapy approval / pipeline progress</x:v>
      </x:c>
    </x:row>
    <x:row r="6">
      <x:c r="A6" t="n">
        <x:v>2</x:v>
      </x:c>
      <x:c r="B6" t="str">
        <x:v>QQQ</x:v>
      </x:c>
      <x:c r="C6" t="str">
        <x:v>META</x:v>
      </x:c>
      <x:c r="D6" t="str">
        <x:v>Meta Platforms</x:v>
      </x:c>
      <x:c r="E6" t="str">
        <x:v>A</x:v>
      </x:c>
      <x:c r="F6" s="16" t="n">
        <x:v>66.188212177553</x:v>
      </x:c>
      <x:c r="G6" s="16" t="n">
        <x:v>62</x:v>
      </x:c>
      <x:c r="H6" s="16" t="n">
        <x:v>60</x:v>
      </x:c>
      <x:c r="I6" s="16" t="n">
        <x:v>58</x:v>
      </x:c>
      <x:c r="J6" s="16" t="n">
        <x:v>59.8</x:v>
      </x:c>
      <x:c r="K6" s="16" t="n">
        <x:v>2</x:v>
      </x:c>
      <x:c r="L6" s="16" t="str">
        <x:v>Major</x:v>
      </x:c>
      <x:c r="M6" s="16" t="n">
        <x:v>0.4899999999999999</x:v>
      </x:c>
      <x:c r="N6" s="16" t="n">
        <x:v>66.678212177553</x:v>
      </x:c>
      <x:c r="O6" t="n">
        <x:v>0</x:v>
      </x:c>
      <x:c r="P6" s="16" t="n">
        <x:v>65</x:v>
      </x:c>
      <x:c r="Q6" t="str">
        <x:v>High Fundamentals / Positive Catalyst</x:v>
      </x:c>
      <x:c r="R6" s="22" t="n">
        <x:v>-0.23436945320785385</x:v>
      </x:c>
      <x:c r="S6" s="22" t="n">
        <x:v>0.22772025558003484</x:v>
      </x:c>
      <x:c r="T6" s="22" t="n">
        <x:v>0.7568966314951329</x:v>
      </x:c>
      <x:c r="U6" s="16" t="n">
        <x:v>69.46135064935065</x:v>
      </x:c>
      <x:c r="V6" t="str">
        <x:v>Medium/Low</x:v>
      </x:c>
      <x:c r="W6" s="16" t="n">
        <x:v>59.35990967125099</x:v>
      </x:c>
      <x:c r="X6" t="str">
        <x:v>Large child-safety settlement clears overhang but adds cost; AI/ad optimism</x:v>
      </x:c>
    </x:row>
    <x:row r="7">
      <x:c r="A7" t="n">
        <x:v>3</x:v>
      </x:c>
      <x:c r="B7" t="str">
        <x:v>Healthcare</x:v>
      </x:c>
      <x:c r="C7" t="str">
        <x:v>SNY</x:v>
      </x:c>
      <x:c r="D7" t="str">
        <x:v>Sanofi</x:v>
      </x:c>
      <x:c r="E7" t="str">
        <x:v>B</x:v>
      </x:c>
      <x:c r="F7" s="16" t="n">
        <x:v>65.96534455281443</x:v>
      </x:c>
      <x:c r="G7" s="16" t="n">
        <x:v>55</x:v>
      </x:c>
      <x:c r="H7" s="16" t="n">
        <x:v>72</x:v>
      </x:c>
      <x:c r="I7" s="16" t="n">
        <x:v>70</x:v>
      </x:c>
      <x:c r="J7" s="16" t="n">
        <x:v>65.3</x:v>
      </x:c>
      <x:c r="K7" s="16" t="n">
        <x:v>-17</x:v>
      </x:c>
      <x:c r="L7" s="16" t="str">
        <x:v>Moderate</x:v>
      </x:c>
      <x:c r="M7" s="16" t="n">
        <x:v>0.5354999999999999</x:v>
      </x:c>
      <x:c r="N7" s="16" t="n">
        <x:v>66.50084455281443</x:v>
      </x:c>
      <x:c r="O7" t="n">
        <x:v>0</x:v>
      </x:c>
      <x:c r="P7" s="16" t="n">
        <x:v>60</x:v>
      </x:c>
      <x:c r="Q7" t="str">
        <x:v>High Fundamentals / Positive Catalyst</x:v>
      </x:c>
      <x:c r="R7" s="22" t="n">
        <x:v>-0.18723784024988854</x:v>
      </x:c>
      <x:c r="S7" s="22" t="n">
        <x:v>0.13009817045961625</x:v>
      </x:c>
      <x:c r="T7" s="22" t="n">
        <x:v>0.4028112449799195</x:v>
      </x:c>
      <x:c r="U7" s="16" t="n">
        <x:v>33</x:v>
      </x:c>
      <x:c r="V7" t="str">
        <x:v>Low</x:v>
      </x:c>
      <x:c r="W7" s="16" t="n">
        <x:v>46.99137821125772</x:v>
      </x:c>
      <x:c r="X7" t="str">
        <x:v>Q2 double-digit growth; guidance upgraded; competitive MS read-through</x:v>
      </x:c>
    </x:row>
    <x:row r="8">
      <x:c r="A8" t="n">
        <x:v>4</x:v>
      </x:c>
      <x:c r="B8" t="str">
        <x:v>Healthcare</x:v>
      </x:c>
      <x:c r="C8" t="str">
        <x:v>RHHBY</x:v>
      </x:c>
      <x:c r="D8" t="str">
        <x:v>Roche</x:v>
      </x:c>
      <x:c r="E8" t="str">
        <x:v>B</x:v>
      </x:c>
      <x:c r="F8" s="16" t="n">
        <x:v>64.94507700670411</x:v>
      </x:c>
      <x:c r="G8" s="16" t="n">
        <x:v>75</x:v>
      </x:c>
      <x:c r="H8" s="16" t="n">
        <x:v>72</x:v>
      </x:c>
      <x:c r="I8" s="16" t="n">
        <x:v>72</x:v>
      </x:c>
      <x:c r="J8" s="16" t="n">
        <x:v>72.6</x:v>
      </x:c>
      <x:c r="K8" s="16" t="n">
        <x:v>3</x:v>
      </x:c>
      <x:c r="L8" s="16" t="str">
        <x:v>Major</x:v>
      </x:c>
      <x:c r="M8" s="16" t="n">
        <x:v>1.1299999999999997</x:v>
      </x:c>
      <x:c r="N8" s="16" t="n">
        <x:v>66.0750770067041</x:v>
      </x:c>
      <x:c r="O8" t="n">
        <x:v>0</x:v>
      </x:c>
      <x:c r="P8" s="16" t="n">
        <x:v>60</x:v>
      </x:c>
      <x:c r="Q8" t="str">
        <x:v>High Fundamentals / Positive Catalyst</x:v>
      </x:c>
      <x:c r="R8" s="22" t="n">
        <x:v>-0.17419822431599918</x:v>
      </x:c>
      <x:c r="S8" s="22" t="n">
        <x:v>0.1116959594129372</x:v>
      </x:c>
      <x:c r="T8" s="22" t="n">
        <x:v>0.3704113063960863</x:v>
      </x:c>
      <x:c r="U8" s="16" t="n">
        <x:v>56.8</x:v>
      </x:c>
      <x:c r="V8" t="str">
        <x:v>High</x:v>
      </x:c>
      <x:c r="W8" s="16" t="n">
        <x:v>45.70030802681646</x:v>
      </x:c>
      <x:c r="X8" t="str">
        <x:v>Strong H1 CER growth; FDA-cleared Alzheimer blood test</x:v>
      </x:c>
    </x:row>
    <x:row r="9">
      <x:c r="A9" t="n">
        <x:v>5</x:v>
      </x:c>
      <x:c r="B9" t="str">
        <x:v>Healthcare</x:v>
      </x:c>
      <x:c r="C9" t="str">
        <x:v>VRTX</x:v>
      </x:c>
      <x:c r="D9" t="str">
        <x:v>Vertex Pharmaceuticals</x:v>
      </x:c>
      <x:c r="E9" t="str">
        <x:v>B</x:v>
      </x:c>
      <x:c r="F9" s="16" t="n">
        <x:v>62.484411576995804</x:v>
      </x:c>
      <x:c r="G9" s="16" t="n">
        <x:v>60</x:v>
      </x:c>
      <x:c r="H9" s="16" t="n">
        <x:v>82</x:v>
      </x:c>
      <x:c r="I9" s="16" t="n">
        <x:v>84</x:v>
      </x:c>
      <x:c r="J9" s="16" t="n">
        <x:v>78.2</x:v>
      </x:c>
      <x:c r="K9" s="16" t="n">
        <x:v>-22</x:v>
      </x:c>
      <x:c r="L9" s="16" t="str">
        <x:v>Major</x:v>
      </x:c>
      <x:c r="M9" s="16" t="n">
        <x:v>1.4100000000000001</x:v>
      </x:c>
      <x:c r="N9" s="16" t="n">
        <x:v>63.89441157699581</x:v>
      </x:c>
      <x:c r="O9" t="n">
        <x:v>1</x:v>
      </x:c>
      <x:c r="P9" s="16" t="n">
        <x:v>80</x:v>
      </x:c>
      <x:c r="Q9" t="str">
        <x:v>High Fundamentals / Positive Catalyst</x:v>
      </x:c>
      <x:c r="R9" s="22" t="n">
        <x:v>-0.19386364895050678</x:v>
      </x:c>
      <x:c r="S9" s="22" t="n">
        <x:v>0.06690081042662777</x:v>
      </x:c>
      <x:c r="T9" s="22" t="n">
        <x:v>0.4015082427218519</x:v>
      </x:c>
      <x:c r="U9" s="16" t="n">
        <x:v>56.8</x:v>
      </x:c>
      <x:c r="V9" t="str">
        <x:v>High</x:v>
      </x:c>
      <x:c r="W9" s="16" t="n">
        <x:v>43.05764630798321</x:v>
      </x:c>
      <x:c r="X9" t="str">
        <x:v>Q2 growth + raised guide; Crinetics acquisition; FDA/BLA progress</x:v>
      </x:c>
    </x:row>
    <x:row r="10">
      <x:c r="A10" t="n">
        <x:v>6</x:v>
      </x:c>
      <x:c r="B10" t="str">
        <x:v>Healthcare</x:v>
      </x:c>
      <x:c r="C10" t="str">
        <x:v>BMY</x:v>
      </x:c>
      <x:c r="D10" t="str">
        <x:v>Bristol Myers Squibb</x:v>
      </x:c>
      <x:c r="E10" t="str">
        <x:v>B</x:v>
      </x:c>
      <x:c r="F10" s="16" t="n">
        <x:v>63.67426636055444</x:v>
      </x:c>
      <x:c r="G10" s="16" t="n">
        <x:v>35</x:v>
      </x:c>
      <x:c r="H10" s="16" t="n">
        <x:v>58</x:v>
      </x:c>
      <x:c r="I10" s="16" t="n">
        <x:v>60</x:v>
      </x:c>
      <x:c r="J10" s="16" t="n">
        <x:v>54</x:v>
      </x:c>
      <x:c r="K10" s="16" t="n">
        <x:v>-23</x:v>
      </x:c>
      <x:c r="L10" s="16" t="str">
        <x:v>Major</x:v>
      </x:c>
      <x:c r="M10" s="16" t="n">
        <x:v>0.2</x:v>
      </x:c>
      <x:c r="N10" s="16" t="n">
        <x:v>63.874266360554444</x:v>
      </x:c>
      <x:c r="O10" t="n">
        <x:v>-1</x:v>
      </x:c>
      <x:c r="P10" s="16" t="n">
        <x:v>85</x:v>
      </x:c>
      <x:c r="Q10" t="str">
        <x:v>Neutral / Watch</x:v>
      </x:c>
      <x:c r="R10" s="22" t="n">
        <x:v>-0.23953139080805042</x:v>
      </x:c>
      <x:c r="S10" s="22" t="n">
        <x:v>0.10572243917092217</x:v>
      </x:c>
      <x:c r="T10" s="22" t="n">
        <x:v>0.38338840492640425</x:v>
      </x:c>
      <x:c r="U10" s="16" t="n">
        <x:v>28.9</x:v>
      </x:c>
      <x:c r="V10" t="str">
        <x:v>Medium/Low</x:v>
      </x:c>
      <x:c r="W10" s="16" t="n">
        <x:v>42.82506544221774</x:v>
      </x:c>
      <x:c r="X10" t="str">
        <x:v>Q2/outlook raised, but autoimmune CAR-T program paused on inflammatory events</x:v>
      </x:c>
    </x:row>
    <x:row r="11">
      <x:c r="A11" t="n">
        <x:v>7</x:v>
      </x:c>
      <x:c r="B11" t="str">
        <x:v>QQQ</x:v>
      </x:c>
      <x:c r="C11" t="str">
        <x:v>NVDA</x:v>
      </x:c>
      <x:c r="D11" t="str">
        <x:v>NVIDIA</x:v>
      </x:c>
      <x:c r="E11" t="str">
        <x:v>A</x:v>
      </x:c>
      <x:c r="F11" s="16" t="n">
        <x:v>61.920961730535524</x:v>
      </x:c>
      <x:c r="G11" s="16" t="n">
        <x:v>72</x:v>
      </x:c>
      <x:c r="H11" s="16" t="n">
        <x:v>82</x:v>
      </x:c>
      <x:c r="I11" s="16" t="n">
        <x:v>85</x:v>
      </x:c>
      <x:c r="J11" s="16" t="n">
        <x:v>80.9</x:v>
      </x:c>
      <x:c r="K11" s="16" t="n">
        <x:v>-10</x:v>
      </x:c>
      <x:c r="L11" s="16" t="str">
        <x:v>Major</x:v>
      </x:c>
      <x:c r="M11" s="16" t="n">
        <x:v>1.5450000000000004</x:v>
      </x:c>
      <x:c r="N11" s="16" t="n">
        <x:v>63.465961730535525</x:v>
      </x:c>
      <x:c r="O11" t="n">
        <x:v>0</x:v>
      </x:c>
      <x:c r="P11" s="16" t="n">
        <x:v>65</x:v>
      </x:c>
      <x:c r="Q11" t="str">
        <x:v>High Fundamentals / Positive Catalyst</x:v>
      </x:c>
      <x:c r="R11" s="22" t="n">
        <x:v>-0.09806957652196358</x:v>
      </x:c>
      <x:c r="S11" s="22" t="n">
        <x:v>0.34783342272523443</x:v>
      </x:c>
      <x:c r="T11" s="22" t="n">
        <x:v>0.9441666959436401</x:v>
      </x:c>
      <x:c r="U11" s="16" t="n">
        <x:v>40.640527472527495</x:v>
      </x:c>
      <x:c r="V11" t="str">
        <x:v>High</x:v>
      </x:c>
      <x:c r="W11" s="16" t="n">
        <x:v>76.86839043862564</x:v>
      </x:c>
      <x:c r="X11" t="str">
        <x:v>Huge AI-driven Q2 beat/guide; margin/circular-financing concerns</x:v>
      </x:c>
    </x:row>
    <x:row r="12">
      <x:c r="A12" t="n">
        <x:v>8</x:v>
      </x:c>
      <x:c r="B12" t="str">
        <x:v>Healthcare</x:v>
      </x:c>
      <x:c r="C12" t="str">
        <x:v>AMGN</x:v>
      </x:c>
      <x:c r="D12" t="str">
        <x:v>Amgen</x:v>
      </x:c>
      <x:c r="E12" t="str">
        <x:v>B</x:v>
      </x:c>
      <x:c r="F12" s="16" t="n">
        <x:v>60.96529658400893</x:v>
      </x:c>
      <x:c r="G12" s="16" t="n">
        <x:v>55</x:v>
      </x:c>
      <x:c r="H12" s="16" t="n">
        <x:v>68</x:v>
      </x:c>
      <x:c r="I12" s="16" t="n">
        <x:v>70</x:v>
      </x:c>
      <x:c r="J12" s="16" t="n">
        <x:v>63.6</x:v>
      </x:c>
      <x:c r="K12" s="16" t="n">
        <x:v>-13</x:v>
      </x:c>
      <x:c r="L12" s="16" t="str">
        <x:v>Moderate</x:v>
      </x:c>
      <x:c r="M12" s="16" t="n">
        <x:v>0.4760000000000001</x:v>
      </x:c>
      <x:c r="N12" s="16" t="n">
        <x:v>61.44129658400893</x:v>
      </x:c>
      <x:c r="O12" t="n">
        <x:v>0</x:v>
      </x:c>
      <x:c r="P12" s="16" t="n">
        <x:v>55</x:v>
      </x:c>
      <x:c r="Q12" t="str">
        <x:v>High Fundamentals / Positive Catalyst</x:v>
      </x:c>
      <x:c r="R12" s="22" t="n">
        <x:v>-0.1779566162527173</x:v>
      </x:c>
      <x:c r="S12" s="22" t="n">
        <x:v>0.08189029184589058</x:v>
      </x:c>
      <x:c r="T12" s="22" t="n">
        <x:v>0.3648628648073631</x:v>
      </x:c>
      <x:c r="U12" s="16" t="n">
        <x:v>70.68</x:v>
      </x:c>
      <x:c r="V12" t="str">
        <x:v>Medium</x:v>
      </x:c>
      <x:c r="W12" s="16" t="n">
        <x:v>43.69398633603573</x:v>
      </x:c>
      <x:c r="X12" t="str">
        <x:v>Q2 + positive regulatory momentum; Repatha/Imdylltra</x:v>
      </x:c>
    </x:row>
    <x:row r="13">
      <x:c r="A13" t="n">
        <x:v>9</x:v>
      </x:c>
      <x:c r="B13" t="str">
        <x:v>Healthcare</x:v>
      </x:c>
      <x:c r="C13" t="str">
        <x:v>TMO</x:v>
      </x:c>
      <x:c r="D13" t="str">
        <x:v>Thermo Fisher Scientific</x:v>
      </x:c>
      <x:c r="E13" t="str">
        <x:v>B</x:v>
      </x:c>
      <x:c r="F13" s="16" t="n">
        <x:v>60.81826360538751</x:v>
      </x:c>
      <x:c r="G13" s="16" t="n">
        <x:v>45</x:v>
      </x:c>
      <x:c r="H13" s="16" t="n">
        <x:v>68</x:v>
      </x:c>
      <x:c r="I13" s="16" t="n">
        <x:v>70</x:v>
      </x:c>
      <x:c r="J13" s="16" t="n">
        <x:v>64</x:v>
      </x:c>
      <x:c r="K13" s="16" t="n">
        <x:v>-23</x:v>
      </x:c>
      <x:c r="L13" s="16" t="str">
        <x:v>Moderate</x:v>
      </x:c>
      <x:c r="M13" s="16" t="n">
        <x:v>0.49</x:v>
      </x:c>
      <x:c r="N13" s="16" t="n">
        <x:v>61.30826360538751</x:v>
      </x:c>
      <x:c r="O13" t="n">
        <x:v>0</x:v>
      </x:c>
      <x:c r="P13" s="16" t="n">
        <x:v>40</x:v>
      </x:c>
      <x:c r="Q13" t="str">
        <x:v>High Fundamentals / Positive Catalyst</x:v>
      </x:c>
      <x:c r="R13" s="22" t="n">
        <x:v>-0.20702690539715196</x:v>
      </x:c>
      <x:c r="S13" s="22" t="n">
        <x:v>0.05949885885113648</x:v>
      </x:c>
      <x:c r="T13" s="22" t="n">
        <x:v>0.33807901250441996</x:v>
      </x:c>
      <x:c r="U13" s="16" t="n">
        <x:v>52</x:v>
      </x:c>
      <x:c r="V13" t="str">
        <x:v>High</x:v>
      </x:c>
      <x:c r="W13" s="16" t="n">
        <x:v>40.473054421550046</x:v>
      </x:c>
      <x:c r="X13" t="str">
        <x:v>Q2 growth/organic acceleration; recent share weakness</x:v>
      </x:c>
    </x:row>
    <x:row r="14">
      <x:c r="A14" t="n">
        <x:v>10</x:v>
      </x:c>
      <x:c r="B14" t="str">
        <x:v>QQQ</x:v>
      </x:c>
      <x:c r="C14" t="str">
        <x:v>MSFT</x:v>
      </x:c>
      <x:c r="D14" t="str">
        <x:v>Microsoft</x:v>
      </x:c>
      <x:c r="E14" t="str">
        <x:v>A</x:v>
      </x:c>
      <x:c r="F14" s="16" t="n">
        <x:v>60.31340972050337</x:v>
      </x:c>
      <x:c r="G14" s="16" t="n">
        <x:v>72</x:v>
      </x:c>
      <x:c r="H14" s="16" t="n">
        <x:v>78</x:v>
      </x:c>
      <x:c r="I14" s="16" t="n">
        <x:v>75</x:v>
      </x:c>
      <x:c r="J14" s="16" t="n">
        <x:v>75.9</x:v>
      </x:c>
      <x:c r="K14" s="16" t="n">
        <x:v>-6</x:v>
      </x:c>
      <x:c r="L14" s="16" t="str">
        <x:v>Moderate</x:v>
      </x:c>
      <x:c r="M14" s="16" t="n">
        <x:v>0.9065000000000002</x:v>
      </x:c>
      <x:c r="N14" s="16" t="n">
        <x:v>61.219909720503374</x:v>
      </x:c>
      <x:c r="O14" t="n">
        <x:v>1</x:v>
      </x:c>
      <x:c r="P14" s="16" t="n">
        <x:v>55</x:v>
      </x:c>
      <x:c r="Q14" t="str">
        <x:v>High Fundamentals / Positive Catalyst</x:v>
      </x:c>
      <x:c r="R14" s="22" t="n">
        <x:v>-0.30027767232076286</x:v>
      </x:c>
      <x:c r="S14" s="22" t="n">
        <x:v>0.09448620479285075</x:v>
      </x:c>
      <x:c r="T14" s="22" t="n">
        <x:v>0.5235558142180827</x:v>
      </x:c>
      <x:c r="U14" s="16"/>
      <x:c r="V14" t="str">
        <x:v>N/A</x:v>
      </x:c>
      <x:c r="W14" s="16" t="n">
        <x:v>43.02953032243874</x:v>
      </x:c>
      <x:c r="X14" t="str">
        <x:v>AI/cloud confidence returned; disclosure/capex transparency concerns</x:v>
      </x:c>
    </x:row>
    <x:row r="15">
      <x:c r="A15" t="n">
        <x:v>11</x:v>
      </x:c>
      <x:c r="B15" t="str">
        <x:v>Healthcare</x:v>
      </x:c>
      <x:c r="C15" t="str">
        <x:v>ABT</x:v>
      </x:c>
      <x:c r="D15" t="str">
        <x:v>Abbott Laboratories</x:v>
      </x:c>
      <x:c r="E15" t="str">
        <x:v>B</x:v>
      </x:c>
      <x:c r="F15" s="16" t="n">
        <x:v>60.460049028947395</x:v>
      </x:c>
      <x:c r="G15" s="16" t="n">
        <x:v>55</x:v>
      </x:c>
      <x:c r="H15" s="16" t="n">
        <x:v>72</x:v>
      </x:c>
      <x:c r="I15" s="16" t="n">
        <x:v>70</x:v>
      </x:c>
      <x:c r="J15" s="16" t="n">
        <x:v>68</x:v>
      </x:c>
      <x:c r="K15" s="16" t="n">
        <x:v>-17</x:v>
      </x:c>
      <x:c r="L15" s="16" t="str">
        <x:v>Moderate</x:v>
      </x:c>
      <x:c r="M15" s="16" t="n">
        <x:v>0.63</x:v>
      </x:c>
      <x:c r="N15" s="16" t="n">
        <x:v>61.0900490289474</x:v>
      </x:c>
      <x:c r="O15" t="n">
        <x:v>-1</x:v>
      </x:c>
      <x:c r="P15" s="16" t="n">
        <x:v>45</x:v>
      </x:c>
      <x:c r="Q15" t="str">
        <x:v>High Fundamentals / Positive Catalyst</x:v>
      </x:c>
      <x:c r="R15" s="22" t="n">
        <x:v>-0.1598826353694318</x:v>
      </x:c>
      <x:c r="S15" s="22" t="n">
        <x:v>0.03901929403396465</x:v>
      </x:c>
      <x:c r="T15" s="22" t="n">
        <x:v>0.3890726415933137</x:v>
      </x:c>
      <x:c r="U15" s="16" t="n">
        <x:v>72</x:v>
      </x:c>
      <x:c r="V15" t="str">
        <x:v>High</x:v>
      </x:c>
      <x:c r="W15" s="16" t="n">
        <x:v>42.64019611578961</x:v>
      </x:c>
      <x:c r="X15" t="str">
        <x:v>Q2 growth and EPS guide raised</x:v>
      </x:c>
    </x:row>
    <x:row r="16">
      <x:c r="A16" t="n">
        <x:v>12</x:v>
      </x:c>
      <x:c r="B16" t="str">
        <x:v>Healthcare</x:v>
      </x:c>
      <x:c r="C16" t="str">
        <x:v>ABBV</x:v>
      </x:c>
      <x:c r="D16" t="str">
        <x:v>AbbVie</x:v>
      </x:c>
      <x:c r="E16" t="str">
        <x:v>B</x:v>
      </x:c>
      <x:c r="F16" s="16" t="n">
        <x:v>60.10240930796931</x:v>
      </x:c>
      <x:c r="G16" s="16" t="n">
        <x:v>52</x:v>
      </x:c>
      <x:c r="H16" s="16" t="n">
        <x:v>72</x:v>
      </x:c>
      <x:c r="I16" s="16" t="n">
        <x:v>74</x:v>
      </x:c>
      <x:c r="J16" s="16" t="n">
        <x:v>68.6</x:v>
      </x:c>
      <x:c r="K16" s="16" t="n">
        <x:v>-20</x:v>
      </x:c>
      <x:c r="L16" s="16" t="str">
        <x:v>Moderate</x:v>
      </x:c>
      <x:c r="M16" s="16" t="n">
        <x:v>0.6509999999999998</x:v>
      </x:c>
      <x:c r="N16" s="16" t="n">
        <x:v>60.75340930796931</x:v>
      </x:c>
      <x:c r="O16" t="n">
        <x:v>0</x:v>
      </x:c>
      <x:c r="P16" s="16" t="n">
        <x:v>70</x:v>
      </x:c>
      <x:c r="Q16" t="str">
        <x:v>High Fundamentals / Positive Catalyst</x:v>
      </x:c>
      <x:c r="R16" s="22" t="n">
        <x:v>-0.17922342257710966</x:v>
      </x:c>
      <x:c r="S16" s="22" t="n">
        <x:v>0.04906059182714895</x:v>
      </x:c>
      <x:c r="T16" s="22" t="n">
        <x:v>0.3849851260372632</x:v>
      </x:c>
      <x:c r="U16" s="16" t="n">
        <x:v>57.8</x:v>
      </x:c>
      <x:c r="V16" t="str">
        <x:v>Medium/Low</x:v>
      </x:c>
      <x:c r="W16" s="16" t="n">
        <x:v>42.26563723187725</x:v>
      </x:c>
      <x:c r="X16" t="str">
        <x:v>Strong Q2 growth; Apogee acquisition; minor guide dilution</x:v>
      </x:c>
    </x:row>
    <x:row r="17">
      <x:c r="A17" t="n">
        <x:v>13</x:v>
      </x:c>
      <x:c r="B17" t="str">
        <x:v>Healthcare</x:v>
      </x:c>
      <x:c r="C17" t="str">
        <x:v>GSK</x:v>
      </x:c>
      <x:c r="D17" t="str">
        <x:v>GSK</x:v>
      </x:c>
      <x:c r="E17" t="str">
        <x:v>B</x:v>
      </x:c>
      <x:c r="F17" s="16" t="n">
        <x:v>59.483593214145166</x:v>
      </x:c>
      <x:c r="G17" s="16" t="n">
        <x:v>50</x:v>
      </x:c>
      <x:c r="H17" s="16" t="n">
        <x:v>68</x:v>
      </x:c>
      <x:c r="I17" s="16" t="n">
        <x:v>70</x:v>
      </x:c>
      <x:c r="J17" s="16" t="n">
        <x:v>65</x:v>
      </x:c>
      <x:c r="K17" s="16" t="n">
        <x:v>-18</x:v>
      </x:c>
      <x:c r="L17" s="16" t="str">
        <x:v>Moderate</x:v>
      </x:c>
      <x:c r="M17" s="16" t="n">
        <x:v>0.5249999999999999</x:v>
      </x:c>
      <x:c r="N17" s="16" t="n">
        <x:v>60.008593214145165</x:v>
      </x:c>
      <x:c r="O17" t="n">
        <x:v>0</x:v>
      </x:c>
      <x:c r="P17" s="16" t="n">
        <x:v>70</x:v>
      </x:c>
      <x:c r="Q17" t="str">
        <x:v>High Fundamentals / Positive Catalyst</x:v>
      </x:c>
      <x:c r="R17" s="22" t="n">
        <x:v>-0.18677685950413214</x:v>
      </x:c>
      <x:c r="S17" s="22" t="n">
        <x:v>0.11080283353010634</x:v>
      </x:c>
      <x:c r="T17" s="22" t="n">
        <x:v>0.3690279417552145</x:v>
      </x:c>
      <x:c r="U17" s="16" t="n">
        <x:v>33</x:v>
      </x:c>
      <x:c r="V17" t="str">
        <x:v>Low</x:v>
      </x:c>
      <x:c r="W17" s="16" t="n">
        <x:v>45.064372856580654</x:v>
      </x:c>
      <x:c r="X17" t="str">
        <x:v>Strong core Q2; 20+ Phase III starts; GAAP impairment</x:v>
      </x:c>
    </x:row>
    <x:row r="18">
      <x:c r="A18" t="n">
        <x:v>14</x:v>
      </x:c>
      <x:c r="B18" t="str">
        <x:v>Healthcare</x:v>
      </x:c>
      <x:c r="C18" t="str">
        <x:v>NVS</x:v>
      </x:c>
      <x:c r="D18" t="str">
        <x:v>Novartis</x:v>
      </x:c>
      <x:c r="E18" t="str">
        <x:v>B</x:v>
      </x:c>
      <x:c r="F18" s="16" t="n">
        <x:v>58.64553407636508</x:v>
      </x:c>
      <x:c r="G18" s="16" t="n">
        <x:v>50</x:v>
      </x:c>
      <x:c r="H18" s="16" t="n">
        <x:v>60</x:v>
      </x:c>
      <x:c r="I18" s="16" t="n">
        <x:v>68</x:v>
      </x:c>
      <x:c r="J18" s="16" t="n">
        <x:v>60.4</x:v>
      </x:c>
      <x:c r="K18" s="16" t="n">
        <x:v>-10</x:v>
      </x:c>
      <x:c r="L18" s="16" t="str">
        <x:v>Major</x:v>
      </x:c>
      <x:c r="M18" s="16" t="n">
        <x:v>0.5199999999999999</x:v>
      </x:c>
      <x:c r="N18" s="16" t="n">
        <x:v>59.165534076365084</x:v>
      </x:c>
      <x:c r="O18" t="n">
        <x:v>0</x:v>
      </x:c>
      <x:c r="P18" s="16" t="n">
        <x:v>90</x:v>
      </x:c>
      <x:c r="Q18" t="str">
        <x:v>High Fundamentals / Positive Catalyst</x:v>
      </x:c>
      <x:c r="R18" s="22" t="n">
        <x:v>-0.19365450880957025</x:v>
      </x:c>
      <x:c r="S18" s="22" t="n">
        <x:v>0.07012222872375018</x:v>
      </x:c>
      <x:c r="T18" s="22" t="n">
        <x:v>0.36640660555230475</x:v>
      </x:c>
      <x:c r="U18" s="16" t="n">
        <x:v>69.84</x:v>
      </x:c>
      <x:c r="V18" t="str">
        <x:v>High/Medium</x:v>
      </x:c>
      <x:c r="W18" s="16" t="n">
        <x:v>42.37333630546036</x:v>
      </x:c>
      <x:c r="X18" t="str">
        <x:v>Strong MS Phase 3 result offset by CAR-T safety trial pause</x:v>
      </x:c>
    </x:row>
    <x:row r="19">
      <x:c r="A19" t="n">
        <x:v>15</x:v>
      </x:c>
      <x:c r="B19" t="str">
        <x:v>Healthcare</x:v>
      </x:c>
      <x:c r="C19" t="str">
        <x:v>PFE</x:v>
      </x:c>
      <x:c r="D19" t="str">
        <x:v>Pfizer</x:v>
      </x:c>
      <x:c r="E19" t="str">
        <x:v>B</x:v>
      </x:c>
      <x:c r="F19" s="16" t="n">
        <x:v>58.23311848559166</x:v>
      </x:c>
      <x:c r="G19" s="16" t="n">
        <x:v>50</x:v>
      </x:c>
      <x:c r="H19" s="16" t="n">
        <x:v>58</x:v>
      </x:c>
      <x:c r="I19" s="16" t="n">
        <x:v>60</x:v>
      </x:c>
      <x:c r="J19" s="16" t="n">
        <x:v>55.95</x:v>
      </x:c>
      <x:c r="K19" s="16" t="n">
        <x:v>-8</x:v>
      </x:c>
      <x:c r="L19" s="16" t="str">
        <x:v>Moderate</x:v>
      </x:c>
      <x:c r="M19" s="16" t="n">
        <x:v>0.2082500000000001</x:v>
      </x:c>
      <x:c r="N19" s="16" t="n">
        <x:v>58.44136848559166</x:v>
      </x:c>
      <x:c r="O19" t="n">
        <x:v>0</x:v>
      </x:c>
      <x:c r="P19" s="16" t="n">
        <x:v>45</x:v>
      </x:c>
      <x:c r="Q19" t="str">
        <x:v>High Fundamentals / Positive Catalyst</x:v>
      </x:c>
      <x:c r="R19" s="22" t="n">
        <x:v>-0.22446351931330466</x:v>
      </x:c>
      <x:c r="S19" s="22" t="n">
        <x:v>0.14012875536480673</x:v>
      </x:c>
      <x:c r="T19" s="22" t="n">
        <x:v>0.4510729613733906</x:v>
      </x:c>
      <x:c r="U19" s="16" t="n">
        <x:v>21</x:v>
      </x:c>
      <x:c r="V19" t="str">
        <x:v>Low</x:v>
      </x:c>
      <x:c r="W19" s="16" t="n">
        <x:v>47.14247394236664</x:v>
      </x:c>
      <x:c r="X19" t="str">
        <x:v>2026 guide reaffirmed; limited new near-term catalyst</x:v>
      </x:c>
    </x:row>
    <x:row r="20">
      <x:c r="A20" t="n">
        <x:v>16</x:v>
      </x:c>
      <x:c r="B20" t="str">
        <x:v>Healthcare</x:v>
      </x:c>
      <x:c r="C20" t="str">
        <x:v>MRK</x:v>
      </x:c>
      <x:c r="D20" t="str">
        <x:v>Merck</x:v>
      </x:c>
      <x:c r="E20" t="str">
        <x:v>B</x:v>
      </x:c>
      <x:c r="F20" s="16" t="n">
        <x:v>56.89128997544417</x:v>
      </x:c>
      <x:c r="G20" s="16" t="n">
        <x:v>65</x:v>
      </x:c>
      <x:c r="H20" s="16" t="n">
        <x:v>78</x:v>
      </x:c>
      <x:c r="I20" s="16" t="n">
        <x:v>76</x:v>
      </x:c>
      <x:c r="J20" s="16" t="n">
        <x:v>74.8</x:v>
      </x:c>
      <x:c r="K20" s="16" t="n">
        <x:v>-13</x:v>
      </x:c>
      <x:c r="L20" s="16" t="str">
        <x:v>Major</x:v>
      </x:c>
      <x:c r="M20" s="16" t="n">
        <x:v>1.24</x:v>
      </x:c>
      <x:c r="N20" s="16" t="n">
        <x:v>58.13128997544417</x:v>
      </x:c>
      <x:c r="O20" t="n">
        <x:v>1</x:v>
      </x:c>
      <x:c r="P20" s="16" t="n">
        <x:v>75</x:v>
      </x:c>
      <x:c r="Q20" t="str">
        <x:v>High Fundamentals / Positive Catalyst</x:v>
      </x:c>
      <x:c r="R20" s="22" t="n">
        <x:v>-0.2161240310077519</x:v>
      </x:c>
      <x:c r="S20" s="22" t="n">
        <x:v>0.06413717559824739</x:v>
      </x:c>
      <x:c r="T20" s="22" t="n">
        <x:v>0.4101213346814965</x:v>
      </x:c>
      <x:c r="U20" s="16" t="n">
        <x:v>66.3</x:v>
      </x:c>
      <x:c r="V20" t="str">
        <x:v>Medium/Low</x:v>
      </x:c>
      <x:c r="W20" s="16" t="n">
        <x:v>42.14115990177668</x:v>
      </x:c>
      <x:c r="X20" t="str">
        <x:v>Positive Phase 3 melanoma + FDA acceptance + Q2 milestones</x:v>
      </x:c>
    </x:row>
    <x:row r="21">
      <x:c r="A21" t="n">
        <x:v>17</x:v>
      </x:c>
      <x:c r="B21" t="str">
        <x:v>Healthcare</x:v>
      </x:c>
      <x:c r="C21" t="str">
        <x:v>LLY</x:v>
      </x:c>
      <x:c r="D21" t="str">
        <x:v>Eli Lilly</x:v>
      </x:c>
      <x:c r="E21" t="str">
        <x:v>B</x:v>
      </x:c>
      <x:c r="F21" s="16" t="n">
        <x:v>56.70238889601046</x:v>
      </x:c>
      <x:c r="G21" s="16" t="n">
        <x:v>70</x:v>
      </x:c>
      <x:c r="H21" s="16" t="n">
        <x:v>78</x:v>
      </x:c>
      <x:c r="I21" s="16" t="n">
        <x:v>82</x:v>
      </x:c>
      <x:c r="J21" s="16" t="n">
        <x:v>77.6</x:v>
      </x:c>
      <x:c r="K21" s="16" t="n">
        <x:v>-8</x:v>
      </x:c>
      <x:c r="L21" s="16" t="str">
        <x:v>Major</x:v>
      </x:c>
      <x:c r="M21" s="16" t="n">
        <x:v>1.38</x:v>
      </x:c>
      <x:c r="N21" s="16" t="n">
        <x:v>58.082388896010464</x:v>
      </x:c>
      <x:c r="O21" t="n">
        <x:v>1</x:v>
      </x:c>
      <x:c r="P21" s="16" t="n">
        <x:v>70</x:v>
      </x:c>
      <x:c r="Q21" t="str">
        <x:v>High Fundamentals / Positive Catalyst</x:v>
      </x:c>
      <x:c r="R21" s="22" t="n">
        <x:v>-0.23817777815615382</x:v>
      </x:c>
      <x:c r="S21" s="22" t="n">
        <x:v>0.06080784260307692</x:v>
      </x:c>
      <x:c r="T21" s="22" t="n">
        <x:v>0.38107712347076905</x:v>
      </x:c>
      <x:c r="U21" s="16" t="n">
        <x:v>63.24</x:v>
      </x:c>
      <x:c r="V21" t="str">
        <x:v>Medium</x:v>
      </x:c>
      <x:c r="W21" s="16" t="n">
        <x:v>40.25995558404189</x:v>
      </x:c>
      <x:c r="X21" t="str">
        <x:v>Pipeline M&amp;A expands immunology; core obesity franchise remains strong</x:v>
      </x:c>
    </x:row>
    <x:row r="22">
      <x:c r="A22" t="n">
        <x:v>18</x:v>
      </x:c>
      <x:c r="B22" t="str">
        <x:v>Healthcare</x:v>
      </x:c>
      <x:c r="C22" t="str">
        <x:v>JNJ</x:v>
      </x:c>
      <x:c r="D22" t="str">
        <x:v>Johnson &amp; Johnson</x:v>
      </x:c>
      <x:c r="E22" t="str">
        <x:v>B</x:v>
      </x:c>
      <x:c r="F22" s="16" t="n">
        <x:v>56.67384357878354</x:v>
      </x:c>
      <x:c r="G22" s="16" t="n">
        <x:v>60</x:v>
      </x:c>
      <x:c r="H22" s="16" t="n">
        <x:v>78</x:v>
      </x:c>
      <x:c r="I22" s="16" t="n">
        <x:v>80</x:v>
      </x:c>
      <x:c r="J22" s="16" t="n">
        <x:v>75</x:v>
      </x:c>
      <x:c r="K22" s="16" t="n">
        <x:v>-18</x:v>
      </x:c>
      <x:c r="L22" s="16" t="str">
        <x:v>Major</x:v>
      </x:c>
      <x:c r="M22" s="16" t="n">
        <x:v>1.25</x:v>
      </x:c>
      <x:c r="N22" s="16" t="n">
        <x:v>57.92384357878354</x:v>
      </x:c>
      <x:c r="O22" t="n">
        <x:v>1</x:v>
      </x:c>
      <x:c r="P22" s="16" t="n">
        <x:v>75</x:v>
      </x:c>
      <x:c r="Q22" t="str">
        <x:v>High Fundamentals / Positive Catalyst</x:v>
      </x:c>
      <x:c r="R22" s="22" t="n">
        <x:v>-0.19894045664826143</x:v>
      </x:c>
      <x:c r="S22" s="22" t="n">
        <x:v>0.035002238471869784</x:v>
      </x:c>
      <x:c r="T22" s="22" t="n">
        <x:v>0.3062527980898373</x:v>
      </x:c>
      <x:c r="U22" s="16" t="n">
        <x:v>49.3</x:v>
      </x:c>
      <x:c r="V22" t="str">
        <x:v>Medium/Low</x:v>
      </x:c>
      <x:c r="W22" s="16" t="n">
        <x:v>38.631374315134195</x:v>
      </x:c>
      <x:c r="X22" t="str">
        <x:v>Raised outlook; approvals; talc-resolution progress</x:v>
      </x:c>
    </x:row>
    <x:row r="23">
      <x:c r="A23" t="n">
        <x:v>19</x:v>
      </x:c>
      <x:c r="B23" t="str">
        <x:v>Healthcare</x:v>
      </x:c>
      <x:c r="C23" t="str">
        <x:v>AZN</x:v>
      </x:c>
      <x:c r="D23" t="str">
        <x:v>AstraZeneca</x:v>
      </x:c>
      <x:c r="E23" t="str">
        <x:v>B</x:v>
      </x:c>
      <x:c r="F23" s="16" t="n">
        <x:v>57.01355694090789</x:v>
      </x:c>
      <x:c r="G23" s="16" t="n">
        <x:v>60</x:v>
      </x:c>
      <x:c r="H23" s="16" t="n">
        <x:v>78</x:v>
      </x:c>
      <x:c r="I23" s="16" t="n">
        <x:v>78</x:v>
      </x:c>
      <x:c r="J23" s="16" t="n">
        <x:v>74.4</x:v>
      </x:c>
      <x:c r="K23" s="16" t="n">
        <x:v>-18</x:v>
      </x:c>
      <x:c r="L23" s="16" t="str">
        <x:v>Moderate</x:v>
      </x:c>
      <x:c r="M23" s="16" t="n">
        <x:v>0.8540000000000002</x:v>
      </x:c>
      <x:c r="N23" s="16" t="n">
        <x:v>57.86755694090789</x:v>
      </x:c>
      <x:c r="O23" t="n">
        <x:v>-3</x:v>
      </x:c>
      <x:c r="P23" s="16" t="n">
        <x:v>70</x:v>
      </x:c>
      <x:c r="Q23" t="str">
        <x:v>High Fundamentals / Positive Catalyst</x:v>
      </x:c>
      <x:c r="R23" s="22" t="n">
        <x:v>-0.21585740626920713</x:v>
      </x:c>
      <x:c r="S23" s="22" t="n">
        <x:v>0.041702519975415075</x:v>
      </x:c>
      <x:c r="T23" s="22" t="n">
        <x:v>0.3914566687154273</x:v>
      </x:c>
      <x:c r="U23" s="16" t="n">
        <x:v>75</x:v>
      </x:c>
      <x:c r="V23" t="str">
        <x:v>Low</x:v>
      </x:c>
      <x:c r="W23" s="16" t="n">
        <x:v>40.40422776363159</x:v>
      </x:c>
      <x:c r="X23" t="str">
        <x:v>Strong oncology/rare disease results; outlook maintained</x:v>
      </x:c>
    </x:row>
    <x:row r="24">
      <x:c r="A24" t="n">
        <x:v>20</x:v>
      </x:c>
      <x:c r="B24" t="str">
        <x:v>Healthcare</x:v>
      </x:c>
      <x:c r="C24" t="str">
        <x:v>A</x:v>
      </x:c>
      <x:c r="D24" t="str">
        <x:v>Agilent Technologies</x:v>
      </x:c>
      <x:c r="E24" t="str">
        <x:v>B</x:v>
      </x:c>
      <x:c r="F24" s="16" t="n">
        <x:v>55.82537515786346</x:v>
      </x:c>
      <x:c r="G24" s="16" t="n">
        <x:v>70</x:v>
      </x:c>
      <x:c r="H24" s="16" t="n">
        <x:v>78</x:v>
      </x:c>
      <x:c r="I24" s="16" t="n">
        <x:v>72</x:v>
      </x:c>
      <x:c r="J24" s="16" t="n">
        <x:v>74.6</x:v>
      </x:c>
      <x:c r="K24" s="16" t="n">
        <x:v>-8</x:v>
      </x:c>
      <x:c r="L24" s="16" t="str">
        <x:v>Moderate</x:v>
      </x:c>
      <x:c r="M24" s="16" t="n">
        <x:v>0.8609999999999998</x:v>
      </x:c>
      <x:c r="N24" s="16" t="n">
        <x:v>56.68637515786346</x:v>
      </x:c>
      <x:c r="O24" t="n">
        <x:v>1</x:v>
      </x:c>
      <x:c r="P24" s="16" t="n">
        <x:v>55</x:v>
      </x:c>
      <x:c r="Q24" t="str">
        <x:v>High Fundamentals / Positive Catalyst</x:v>
      </x:c>
      <x:c r="R24" s="22" t="n">
        <x:v>-0.2229849193967759</x:v>
      </x:c>
      <x:c r="S24" s="22" t="n">
        <x:v>0.0212688507540304</x:v>
      </x:c>
      <x:c r="T24" s="22" t="n">
        <x:v>0.35652626105044183</x:v>
      </x:c>
      <x:c r="U24" s="16" t="n">
        <x:v>75</x:v>
      </x:c>
      <x:c r="V24" t="str">
        <x:v>Low</x:v>
      </x:c>
      <x:c r="W24" s="16" t="n">
        <x:v>38.05150063145384</x:v>
      </x:c>
      <x:c r="X24" t="str">
        <x:v>FDA/EU wins + Q3 beat + AI/science collaboration</x:v>
      </x:c>
    </x:row>
    <x:row r="25">
      <x:c r="A25" t="n">
        <x:v>21</x:v>
      </x:c>
      <x:c r="B25" t="str">
        <x:v>Healthcare</x:v>
      </x:c>
      <x:c r="C25" t="str">
        <x:v>GILD</x:v>
      </x:c>
      <x:c r="D25" t="str">
        <x:v>Gilead Sciences</x:v>
      </x:c>
      <x:c r="E25" t="str">
        <x:v>B</x:v>
      </x:c>
      <x:c r="F25" s="16" t="n">
        <x:v>54.47507999431238</x:v>
      </x:c>
      <x:c r="G25" s="16" t="n">
        <x:v>60</x:v>
      </x:c>
      <x:c r="H25" s="16" t="n">
        <x:v>78</x:v>
      </x:c>
      <x:c r="I25" s="16" t="n">
        <x:v>80</x:v>
      </x:c>
      <x:c r="J25" s="16" t="n">
        <x:v>75</x:v>
      </x:c>
      <x:c r="K25" s="16" t="n">
        <x:v>-18</x:v>
      </x:c>
      <x:c r="L25" s="16" t="str">
        <x:v>Major</x:v>
      </x:c>
      <x:c r="M25" s="16" t="n">
        <x:v>1.25</x:v>
      </x:c>
      <x:c r="N25" s="16" t="n">
        <x:v>55.72507999431238</x:v>
      </x:c>
      <x:c r="O25" t="n">
        <x:v>1</x:v>
      </x:c>
      <x:c r="P25" s="16" t="n">
        <x:v>70</x:v>
      </x:c>
      <x:c r="Q25" t="str">
        <x:v>Neutral / Watch</x:v>
      </x:c>
      <x:c r="R25" s="22" t="n">
        <x:v>-0.20688907193849537</x:v>
      </x:c>
      <x:c r="S25" s="22" t="n">
        <x:v>0.07658429434376712</x:v>
      </x:c>
      <x:c r="T25" s="22" t="n">
        <x:v>0.40467600219659516</x:v>
      </x:c>
      <x:c r="U25" s="16" t="n">
        <x:v>42</x:v>
      </x:c>
      <x:c r="V25" t="str">
        <x:v>Low</x:v>
      </x:c>
      <x:c r="W25" s="16" t="n">
        <x:v>43.12031997724954</x:v>
      </x:c>
      <x:c r="X25" t="str">
        <x:v>Q2 strong; HIV + FDA approvals + Phase 3 progress</x:v>
      </x:c>
    </x:row>
    <x:row r="26">
      <x:c r="A26" t="n">
        <x:v>22</x:v>
      </x:c>
      <x:c r="B26" t="str">
        <x:v>Healthcare</x:v>
      </x:c>
      <x:c r="C26" t="str">
        <x:v>NVO</x:v>
      </x:c>
      <x:c r="D26" t="str">
        <x:v>Novo Nordisk</x:v>
      </x:c>
      <x:c r="E26" t="str">
        <x:v>B</x:v>
      </x:c>
      <x:c r="F26" s="16" t="n">
        <x:v>56.30762418955742</x:v>
      </x:c>
      <x:c r="G26" s="16" t="n">
        <x:v>25</x:v>
      </x:c>
      <x:c r="H26" s="16" t="n">
        <x:v>28</x:v>
      </x:c>
      <x:c r="I26" s="16" t="n">
        <x:v>32</x:v>
      </x:c>
      <x:c r="J26" s="16" t="n">
        <x:v>28.6</x:v>
      </x:c>
      <x:c r="K26" s="16" t="n">
        <x:v>-3</x:v>
      </x:c>
      <x:c r="L26" s="16" t="str">
        <x:v>Major</x:v>
      </x:c>
      <x:c r="M26" s="16" t="n">
        <x:v>-1.07</x:v>
      </x:c>
      <x:c r="N26" s="16" t="n">
        <x:v>55.23762418955742</x:v>
      </x:c>
      <x:c r="O26" t="n">
        <x:v>-2</x:v>
      </x:c>
      <x:c r="P26" s="16" t="n">
        <x:v>85</x:v>
      </x:c>
      <x:c r="Q26" t="str">
        <x:v>High Fundamentals / Negative Catalyst</x:v>
      </x:c>
      <x:c r="R26" s="22" t="n">
        <x:v>-0.24919973689980268</x:v>
      </x:c>
      <x:c r="S26" s="22" t="n">
        <x:v>0.12005042753782069</x:v>
      </x:c>
      <x:c r="T26" s="22" t="n">
        <x:v>0.4673755755316815</x:v>
      </x:c>
      <x:c r="U26" s="16" t="n">
        <x:v>9</x:v>
      </x:c>
      <x:c r="V26" t="str">
        <x:v>Low</x:v>
      </x:c>
      <x:c r="W26" s="16" t="n">
        <x:v>45.320496758229716</x:v>
      </x:c>
      <x:c r="X26" t="str">
        <x:v>Sell downgrade, obesity competition/pricing pressure, late-stage trial failure</x:v>
      </x:c>
    </x:row>
    <x:row r="27">
      <x:c r="A27" t="n">
        <x:v>23</x:v>
      </x:c>
      <x:c r="B27" t="str">
        <x:v>QQQ</x:v>
      </x:c>
      <x:c r="C27" t="str">
        <x:v>AMZN</x:v>
      </x:c>
      <x:c r="D27" t="str">
        <x:v>Amazon</x:v>
      </x:c>
      <x:c r="E27" t="str">
        <x:v>A</x:v>
      </x:c>
      <x:c r="F27" s="16" t="n">
        <x:v>53.51628305129378</x:v>
      </x:c>
      <x:c r="G27" s="16" t="n">
        <x:v>35</x:v>
      </x:c>
      <x:c r="H27" s="16" t="n">
        <x:v>60</x:v>
      </x:c>
      <x:c r="I27" s="16" t="n">
        <x:v>72</x:v>
      </x:c>
      <x:c r="J27" s="16" t="n">
        <x:v>58.599999999999994</x:v>
      </x:c>
      <x:c r="K27" s="16" t="n">
        <x:v>-25</x:v>
      </x:c>
      <x:c r="L27" s="16" t="str">
        <x:v>Major</x:v>
      </x:c>
      <x:c r="M27" s="16" t="n">
        <x:v>0.4299999999999997</x:v>
      </x:c>
      <x:c r="N27" s="16" t="n">
        <x:v>53.94628305129378</x:v>
      </x:c>
      <x:c r="O27" t="n">
        <x:v>1</x:v>
      </x:c>
      <x:c r="P27" s="16" t="n">
        <x:v>75</x:v>
      </x:c>
      <x:c r="Q27" t="str">
        <x:v>Neutral / Watch</x:v>
      </x:c>
      <x:c r="R27" s="22" t="n">
        <x:v>-0.3764229130686745</x:v>
      </x:c>
      <x:c r="S27" s="22" t="n">
        <x:v>0.012603910191724577</x:v>
      </x:c>
      <x:c r="T27" s="22" t="n">
        <x:v>0.6801901273186528</x:v>
      </x:c>
      <x:c r="U27" s="16" t="n">
        <x:v>50.24414787184829</x:v>
      </x:c>
      <x:c r="V27" t="str">
        <x:v>Medium/Low</x:v>
      </x:c>
      <x:c r="W27" s="16" t="n">
        <x:v>38.93504560431036</x:v>
      </x:c>
      <x:c r="X27" t="str">
        <x:v>Strong Q2/AWS acceleration; new FTC ad-practices lawsuit</x:v>
      </x:c>
    </x:row>
    <x:row r="28">
      <x:c r="A28" t="n">
        <x:v>24</x:v>
      </x:c>
      <x:c r="B28" t="str">
        <x:v>QQQ</x:v>
      </x:c>
      <x:c r="C28" t="str">
        <x:v>NFLX</x:v>
      </x:c>
      <x:c r="D28" t="str">
        <x:v>Netflix</x:v>
      </x:c>
      <x:c r="E28" t="str">
        <x:v>A</x:v>
      </x:c>
      <x:c r="F28" s="16" t="n">
        <x:v>53.56382778847658</x:v>
      </x:c>
      <x:c r="G28" s="16" t="n">
        <x:v>40</x:v>
      </x:c>
      <x:c r="H28" s="16" t="n">
        <x:v>38</x:v>
      </x:c>
      <x:c r="I28" s="16" t="n">
        <x:v>40</x:v>
      </x:c>
      <x:c r="J28" s="16" t="n">
        <x:v>39</x:v>
      </x:c>
      <x:c r="K28" s="16" t="n">
        <x:v>2</x:v>
      </x:c>
      <x:c r="L28" s="16" t="str">
        <x:v>Moderate</x:v>
      </x:c>
      <x:c r="M28" s="16" t="n">
        <x:v>-0.385</x:v>
      </x:c>
      <x:c r="N28" s="16" t="n">
        <x:v>53.17882778847658</x:v>
      </x:c>
      <x:c r="O28" t="n">
        <x:v>-1</x:v>
      </x:c>
      <x:c r="P28" s="16" t="n">
        <x:v>55</x:v>
      </x:c>
      <x:c r="Q28" t="str">
        <x:v>Neutral / Watch</x:v>
      </x:c>
      <x:c r="R28" s="22" t="n">
        <x:v>-0.2646980154177122</x:v>
      </x:c>
      <x:c r="S28" s="22" t="n">
        <x:v>0.06408514137307186</x:v>
      </x:c>
      <x:c r="T28" s="22" t="n">
        <x:v>0.47569302697217264</x:v>
      </x:c>
      <x:c r="U28" s="16" t="n">
        <x:v>39.31034482758617</x:v>
      </x:c>
      <x:c r="V28" t="str">
        <x:v>Low</x:v>
      </x:c>
      <x:c r="W28" s="16" t="n">
        <x:v>41.652367006812085</x:v>
      </x:c>
      <x:c r="X28" t="str">
        <x:v>Fundamentals growing, but M&amp;A/strategy fears weigh on shares</x:v>
      </x:c>
    </x:row>
    <x:row r="29">
      <x:c r="A29" t="n">
        <x:v>25</x:v>
      </x:c>
      <x:c r="B29" t="str">
        <x:v>Healthcare</x:v>
      </x:c>
      <x:c r="C29" t="str">
        <x:v>DHR</x:v>
      </x:c>
      <x:c r="D29" t="str">
        <x:v>Danaher</x:v>
      </x:c>
      <x:c r="E29" t="str">
        <x:v>B</x:v>
      </x:c>
      <x:c r="F29" s="16" t="n">
        <x:v>52.47156417563092</x:v>
      </x:c>
      <x:c r="G29" s="16" t="n">
        <x:v>45</x:v>
      </x:c>
      <x:c r="H29" s="16" t="n">
        <x:v>48</x:v>
      </x:c>
      <x:c r="I29" s="16" t="n">
        <x:v>55</x:v>
      </x:c>
      <x:c r="J29" s="16" t="n">
        <x:v>49.5</x:v>
      </x:c>
      <x:c r="K29" s="16" t="n">
        <x:v>-3</x:v>
      </x:c>
      <x:c r="L29" s="16" t="str">
        <x:v>Moderate</x:v>
      </x:c>
      <x:c r="M29" s="16" t="n">
        <x:v>-0.017499999999999998</x:v>
      </x:c>
      <x:c r="N29" s="16" t="n">
        <x:v>52.45406417563092</x:v>
      </x:c>
      <x:c r="O29" t="n">
        <x:v>0</x:v>
      </x:c>
      <x:c r="P29" s="16" t="n">
        <x:v>45</x:v>
      </x:c>
      <x:c r="Q29" t="str">
        <x:v>Neutral / Watch</x:v>
      </x:c>
      <x:c r="R29" s="22" t="n">
        <x:v>-0.22049335863377606</x:v>
      </x:c>
      <x:c r="S29" s="22" t="n">
        <x:v>0.04983801545795363</x:v>
      </x:c>
      <x:c r="T29" s="22" t="n">
        <x:v>0.3178553246633038</x:v>
      </x:c>
      <x:c r="U29" s="16" t="n">
        <x:v>54</x:v>
      </x:c>
      <x:c r="V29" t="str">
        <x:v>Low</x:v>
      </x:c>
      <x:c r="W29" s="16" t="n">
        <x:v>38.82625670252367</x:v>
      </x:c>
      <x:c r="X29" t="str">
        <x:v>Q2 outlook upgrade but slowing growth / leadership transition</x:v>
      </x:c>
    </x:row>
    <x:row r="30">
      <x:c r="A30" t="n">
        <x:v>26</x:v>
      </x:c>
      <x:c r="B30" t="str">
        <x:v>QQQ</x:v>
      </x:c>
      <x:c r="C30" t="str">
        <x:v>MU</x:v>
      </x:c>
      <x:c r="D30" t="str">
        <x:v>Micron Technology</x:v>
      </x:c>
      <x:c r="E30" t="str">
        <x:v>A</x:v>
      </x:c>
      <x:c r="F30" s="16" t="n">
        <x:v>51.47914321883504</x:v>
      </x:c>
      <x:c r="G30" s="16" t="n">
        <x:v>55</x:v>
      </x:c>
      <x:c r="H30" s="16" t="n">
        <x:v>75</x:v>
      </x:c>
      <x:c r="I30" s="16" t="n">
        <x:v>84</x:v>
      </x:c>
      <x:c r="J30" s="16" t="n">
        <x:v>73.7</x:v>
      </x:c>
      <x:c r="K30" s="16" t="n">
        <x:v>-20</x:v>
      </x:c>
      <x:c r="L30" s="16" t="str">
        <x:v>Moderate</x:v>
      </x:c>
      <x:c r="M30" s="16" t="n">
        <x:v>0.8295000000000001</x:v>
      </x:c>
      <x:c r="N30" s="16" t="n">
        <x:v>52.308643218835044</x:v>
      </x:c>
      <x:c r="O30" t="n">
        <x:v>0</x:v>
      </x:c>
      <x:c r="P30" s="16" t="n">
        <x:v>65</x:v>
      </x:c>
      <x:c r="Q30" t="str">
        <x:v>Neutral / Watch</x:v>
      </x:c>
      <x:c r="R30" s="22" t="n">
        <x:v>-0.2810213158003769</x:v>
      </x:c>
      <x:c r="S30" s="22" t="n">
        <x:v>0.04598757880980586</x:v>
      </x:c>
      <x:c r="T30" s="22" t="n">
        <x:v>0.39458087844664846</x:v>
      </x:c>
      <x:c r="U30" s="16" t="n">
        <x:v>2.1120000000000125</x:v>
      </x:c>
      <x:c r="V30" t="str">
        <x:v>Medium</x:v>
      </x:c>
      <x:c r="W30" s="16" t="n">
        <x:v>37.87627246974577</x:v>
      </x:c>
      <x:c r="X30" t="str">
        <x:v>AI memory boom; Taiwan labor/lower-cycle risks</x:v>
      </x:c>
    </x:row>
    <x:row r="31">
      <x:c r="A31" t="n">
        <x:v>27</x:v>
      </x:c>
      <x:c r="B31" t="str">
        <x:v>Healthcare</x:v>
      </x:c>
      <x:c r="C31" t="str">
        <x:v>ILMN</x:v>
      </x:c>
      <x:c r="D31" t="str">
        <x:v>Illumina</x:v>
      </x:c>
      <x:c r="E31" t="str">
        <x:v>B</x:v>
      </x:c>
      <x:c r="F31" s="16" t="n">
        <x:v>50.886038893269635</x:v>
      </x:c>
      <x:c r="G31" s="16" t="n">
        <x:v>55</x:v>
      </x:c>
      <x:c r="H31" s="16" t="n">
        <x:v>72</x:v>
      </x:c>
      <x:c r="I31" s="16" t="n">
        <x:v>70</x:v>
      </x:c>
      <x:c r="J31" s="16" t="n">
        <x:v>65.3</x:v>
      </x:c>
      <x:c r="K31" s="16" t="n">
        <x:v>-17</x:v>
      </x:c>
      <x:c r="L31" s="16" t="str">
        <x:v>Moderate</x:v>
      </x:c>
      <x:c r="M31" s="16" t="n">
        <x:v>0.5354999999999999</x:v>
      </x:c>
      <x:c r="N31" s="16" t="n">
        <x:v>51.421538893269634</x:v>
      </x:c>
      <x:c r="O31" t="n">
        <x:v>0</x:v>
      </x:c>
      <x:c r="P31" s="16" t="n">
        <x:v>60</x:v>
      </x:c>
      <x:c r="Q31" t="str">
        <x:v>Neutral / Watch</x:v>
      </x:c>
      <x:c r="R31" s="22" t="n">
        <x:v>-0.29850178579711495</x:v>
      </x:c>
      <x:c r="S31" s="22" t="n">
        <x:v>-0.03254093418062065</x:v>
      </x:c>
      <x:c r="T31" s="22" t="n">
        <x:v>0.34938076905236803</x:v>
      </x:c>
      <x:c r="U31" s="16" t="n">
        <x:v>75</x:v>
      </x:c>
      <x:c r="V31" t="str">
        <x:v>Low</x:v>
      </x:c>
      <x:c r="W31" s="16" t="n">
        <x:v>31.49415557307853</x:v>
      </x:c>
      <x:c r="X31" t="str">
        <x:v>Q2 growth + AI/genomics partnerships</x:v>
      </x:c>
    </x:row>
    <x:row r="32">
      <x:c r="A32" t="n">
        <x:v>28</x:v>
      </x:c>
      <x:c r="B32" t="str">
        <x:v>QQQ</x:v>
      </x:c>
      <x:c r="C32" t="str">
        <x:v>AAPL</x:v>
      </x:c>
      <x:c r="D32" t="str">
        <x:v>Apple</x:v>
      </x:c>
      <x:c r="E32" t="str">
        <x:v>A</x:v>
      </x:c>
      <x:c r="F32" s="16" t="n">
        <x:v>49.453304406408336</x:v>
      </x:c>
      <x:c r="G32" s="16" t="n">
        <x:v>55</x:v>
      </x:c>
      <x:c r="H32" s="16" t="n">
        <x:v>65</x:v>
      </x:c>
      <x:c r="I32" s="16" t="n">
        <x:v>62</x:v>
      </x:c>
      <x:c r="J32" s="16" t="n">
        <x:v>62.099999999999994</x:v>
      </x:c>
      <x:c r="K32" s="16" t="n">
        <x:v>-10</x:v>
      </x:c>
      <x:c r="L32" s="16" t="str">
        <x:v>Moderate</x:v>
      </x:c>
      <x:c r="M32" s="16" t="n">
        <x:v>0.4234999999999998</x:v>
      </x:c>
      <x:c r="N32" s="16" t="n">
        <x:v>49.87680440640833</x:v>
      </x:c>
      <x:c r="O32" t="n">
        <x:v>0</x:v>
      </x:c>
      <x:c r="P32" s="16" t="n">
        <x:v>65</x:v>
      </x:c>
      <x:c r="Q32" t="str">
        <x:v>Neutral / Watch</x:v>
      </x:c>
      <x:c r="R32" s="22" t="n">
        <x:v>-0.500141352378026</x:v>
      </x:c>
      <x:c r="S32" s="22" t="n">
        <x:v>-0.26166576217597526</x:v>
      </x:c>
      <x:c r="T32" s="22" t="n">
        <x:v>0.033891471387624605</x:v>
      </x:c>
      <x:c r="U32" s="16"/>
      <x:c r="V32" t="str">
        <x:v>N/A</x:v>
      </x:c>
      <x:c r="W32" s="16" t="n">
        <x:v>5.216102618151975</x:v>
      </x:c>
      <x:c r="X32" t="str">
        <x:v>Record Q3; CEO transition + AI execution questions</x:v>
      </x:c>
    </x:row>
    <x:row r="33">
      <x:c r="A33" t="n">
        <x:v>29</x:v>
      </x:c>
      <x:c r="B33" t="str">
        <x:v>QQQ</x:v>
      </x:c>
      <x:c r="C33" t="str">
        <x:v>GOOGL</x:v>
      </x:c>
      <x:c r="D33" t="str">
        <x:v>Alphabet</x:v>
      </x:c>
      <x:c r="E33" t="str">
        <x:v>A</x:v>
      </x:c>
      <x:c r="F33" s="16" t="n">
        <x:v>49.1134458023172</x:v>
      </x:c>
      <x:c r="G33" s="16" t="n">
        <x:v>55</x:v>
      </x:c>
      <x:c r="H33" s="16" t="n">
        <x:v>65</x:v>
      </x:c>
      <x:c r="I33" s="16" t="n">
        <x:v>70</x:v>
      </x:c>
      <x:c r="J33" s="16" t="n">
        <x:v>64.5</x:v>
      </x:c>
      <x:c r="K33" s="16" t="n">
        <x:v>-10</x:v>
      </x:c>
      <x:c r="L33" s="16" t="str">
        <x:v>Moderate</x:v>
      </x:c>
      <x:c r="M33" s="16" t="n">
        <x:v>0.5075000000000001</x:v>
      </x:c>
      <x:c r="N33" s="16" t="n">
        <x:v>49.6209458023172</x:v>
      </x:c>
      <x:c r="O33" t="n">
        <x:v>0</x:v>
      </x:c>
      <x:c r="P33" s="16" t="n">
        <x:v>65</x:v>
      </x:c>
      <x:c r="Q33" t="str">
        <x:v>Neutral / Watch</x:v>
      </x:c>
      <x:c r="R33" s="22" t="n">
        <x:v>-0.5070270212200751</x:v>
      </x:c>
      <x:c r="S33" s="22" t="n">
        <x:v>-0.27913449874914675</x:v>
      </x:c>
      <x:c r="T33" s="22" t="n">
        <x:v>0.025994403522997533</x:v>
      </x:c>
      <x:c r="U33" s="16"/>
      <x:c r="V33" t="str">
        <x:v>N/A</x:v>
      </x:c>
      <x:c r="W33" s="16" t="n">
        <x:v>4.717427909696649</x:v>
      </x:c>
      <x:c r="X33" t="str">
        <x:v>Strong Q2/Cloud acceleration; AI capex and leadership-transition concerns</x:v>
      </x:c>
    </x:row>
    <x:row r="34">
      <x:c r="A34" t="n">
        <x:v>30</x:v>
      </x:c>
      <x:c r="B34" t="str">
        <x:v>QQQ</x:v>
      </x:c>
      <x:c r="C34" t="str">
        <x:v>CSCO</x:v>
      </x:c>
      <x:c r="D34" t="str">
        <x:v>Cisco Systems</x:v>
      </x:c>
      <x:c r="E34" t="str">
        <x:v>A</x:v>
      </x:c>
      <x:c r="F34" s="16" t="n">
        <x:v>47.27893063586772</x:v>
      </x:c>
      <x:c r="G34" s="16" t="n">
        <x:v>65</x:v>
      </x:c>
      <x:c r="H34" s="16" t="n">
        <x:v>68</x:v>
      </x:c>
      <x:c r="I34" s="16" t="n">
        <x:v>65</x:v>
      </x:c>
      <x:c r="J34" s="16" t="n">
        <x:v>64.025</x:v>
      </x:c>
      <x:c r="K34" s="16" t="n">
        <x:v>-3</x:v>
      </x:c>
      <x:c r="L34" s="16" t="str">
        <x:v>Moderate</x:v>
      </x:c>
      <x:c r="M34" s="16" t="n">
        <x:v>0.49087500000000023</x:v>
      </x:c>
      <x:c r="N34" s="16" t="n">
        <x:v>47.76980563586772</x:v>
      </x:c>
      <x:c r="O34" t="n">
        <x:v>0</x:v>
      </x:c>
      <x:c r="P34" s="16" t="n">
        <x:v>45</x:v>
      </x:c>
      <x:c r="Q34" t="str">
        <x:v>Neutral / Watch</x:v>
      </x:c>
      <x:c r="R34" s="22" t="n">
        <x:v>-0.51801490987962</x:v>
      </x:c>
      <x:c r="S34" s="22" t="n">
        <x:v>-0.2677541742859121</x:v>
      </x:c>
      <x:c r="T34" s="22" t="n">
        <x:v>0.11667784805414305</x:v>
      </x:c>
      <x:c r="U34" s="16" t="n">
        <x:v>42.14285714285721</x:v>
      </x:c>
      <x:c r="V34" t="str">
        <x:v>Low</x:v>
      </x:c>
      <x:c r="W34" s="16" t="n">
        <x:v>6.503793894120202</x:v>
      </x:c>
      <x:c r="X34" t="str">
        <x:v>AI networking/connectivity thesis strengthening</x:v>
      </x:c>
    </x:row>
    <x:row r="35">
      <x:c r="A35" t="n">
        <x:v>31</x:v>
      </x:c>
      <x:c r="B35" t="str">
        <x:v>Healthcare</x:v>
      </x:c>
      <x:c r="C35" t="str">
        <x:v>BAYRY</x:v>
      </x:c>
      <x:c r="D35" t="str">
        <x:v>Bayer</x:v>
      </x:c>
      <x:c r="E35" t="str">
        <x:v>B</x:v>
      </x:c>
      <x:c r="F35" s="16" t="n">
        <x:v>46.88816448441003</x:v>
      </x:c>
      <x:c r="G35" s="16" t="n">
        <x:v>62</x:v>
      </x:c>
      <x:c r="H35" s="16" t="n">
        <x:v>60</x:v>
      </x:c>
      <x:c r="I35" s="16" t="n">
        <x:v>75</x:v>
      </x:c>
      <x:c r="J35" s="16" t="n">
        <x:v>62.665000000000006</x:v>
      </x:c>
      <x:c r="K35" s="16" t="n">
        <x:v>2</x:v>
      </x:c>
      <x:c r="L35" s="16" t="str">
        <x:v>Major</x:v>
      </x:c>
      <x:c r="M35" s="16" t="n">
        <x:v>0.6332500000000003</x:v>
      </x:c>
      <x:c r="N35" s="16" t="n">
        <x:v>47.52141448441003</x:v>
      </x:c>
      <x:c r="O35" t="n">
        <x:v>0</x:v>
      </x:c>
      <x:c r="P35" s="16" t="n">
        <x:v>90</x:v>
      </x:c>
      <x:c r="Q35" t="str">
        <x:v>Neutral / Watch</x:v>
      </x:c>
      <x:c r="R35" s="22" t="n">
        <x:v>-0.2917974322396576</x:v>
      </x:c>
      <x:c r="S35" s="22" t="n">
        <x:v>0.10417261055634808</x:v>
      </x:c>
      <x:c r="T35" s="22" t="n">
        <x:v>0.4199001426533524</x:v>
      </x:c>
      <x:c r="U35" s="16" t="n">
        <x:v>21</x:v>
      </x:c>
      <x:c r="V35" t="str">
        <x:v>Low</x:v>
      </x:c>
      <x:c r="W35" s="16" t="n">
        <x:v>41.36265793764011</x:v>
      </x:c>
      <x:c r="X35" t="str">
        <x:v>Roundup legal relief + new approvals; litigation risk remains</x:v>
      </x:c>
    </x:row>
    <x:row r="36">
      <x:c r="A36" t="n">
        <x:v>32</x:v>
      </x:c>
      <x:c r="B36" t="str">
        <x:v>Healthcare</x:v>
      </x:c>
      <x:c r="C36" t="str">
        <x:v>NTRA</x:v>
      </x:c>
      <x:c r="D36" t="str">
        <x:v>Natera</x:v>
      </x:c>
      <x:c r="E36" t="str">
        <x:v>B</x:v>
      </x:c>
      <x:c r="F36" s="16" t="n">
        <x:v>44.218379184874465</x:v>
      </x:c>
      <x:c r="G36" s="16" t="n">
        <x:v>60</x:v>
      </x:c>
      <x:c r="H36" s="16" t="n">
        <x:v>75</x:v>
      </x:c>
      <x:c r="I36" s="16" t="n">
        <x:v>80</x:v>
      </x:c>
      <x:c r="J36" s="16" t="n">
        <x:v>73.5</x:v>
      </x:c>
      <x:c r="K36" s="16" t="n">
        <x:v>-15</x:v>
      </x:c>
      <x:c r="L36" s="16" t="str">
        <x:v>Major</x:v>
      </x:c>
      <x:c r="M36" s="16" t="n">
        <x:v>1.175</x:v>
      </x:c>
      <x:c r="N36" s="16" t="n">
        <x:v>45.39337918487446</x:v>
      </x:c>
      <x:c r="O36" t="n">
        <x:v>0</x:v>
      </x:c>
      <x:c r="P36" s="16" t="n">
        <x:v>80</x:v>
      </x:c>
      <x:c r="Q36" t="str">
        <x:v>Momentum / Weak Fundamentals</x:v>
      </x:c>
      <x:c r="R36" s="22" t="n">
        <x:v>-0.36323177833629616</x:v>
      </x:c>
      <x:c r="S36" s="22" t="n">
        <x:v>-0.10432936921473668</x:v>
      </x:c>
      <x:c r="T36" s="22" t="n">
        <x:v>0.44192055415925946</x:v>
      </x:c>
      <x:c r="U36" s="16" t="n">
        <x:v>24</x:v>
      </x:c>
      <x:c r="V36" t="str">
        <x:v>High</x:v>
      </x:c>
      <x:c r="W36" s="16" t="n">
        <x:v>26.873516739497862</x:v>
      </x:c>
      <x:c r="X36" t="str">
        <x:v>FDA/coverage/data momentum across Signatera/Prospera</x:v>
      </x:c>
    </x:row>
    <x:row r="37">
      <x:c r="A37" t="n">
        <x:v>33</x:v>
      </x:c>
      <x:c r="B37" t="str">
        <x:v>QQQ</x:v>
      </x:c>
      <x:c r="C37" t="str">
        <x:v>AVGO</x:v>
      </x:c>
      <x:c r="D37" t="str">
        <x:v>Broadcom</x:v>
      </x:c>
      <x:c r="E37" t="str">
        <x:v>A</x:v>
      </x:c>
      <x:c r="F37" s="16" t="n">
        <x:v>40.89334290790377</x:v>
      </x:c>
      <x:c r="G37" s="16" t="n">
        <x:v>50</x:v>
      </x:c>
      <x:c r="H37" s="16" t="n">
        <x:v>58</x:v>
      </x:c>
      <x:c r="I37" s="16" t="n">
        <x:v>70</x:v>
      </x:c>
      <x:c r="J37" s="16" t="n">
        <x:v>60</x:v>
      </x:c>
      <x:c r="K37" s="16" t="n">
        <x:v>-8</x:v>
      </x:c>
      <x:c r="L37" s="16" t="str">
        <x:v>Moderate</x:v>
      </x:c>
      <x:c r="M37" s="16" t="n">
        <x:v>0.35</x:v>
      </x:c>
      <x:c r="N37" s="16" t="n">
        <x:v>41.243342907903774</x:v>
      </x:c>
      <x:c r="O37" t="n">
        <x:v>0</x:v>
      </x:c>
      <x:c r="P37" s="16" t="n">
        <x:v>55</x:v>
      </x:c>
      <x:c r="Q37" t="str">
        <x:v>Momentum / Weak Fundamentals</x:v>
      </x:c>
      <x:c r="R37" s="22" t="n">
        <x:v>-0.5733819206101268</x:v>
      </x:c>
      <x:c r="S37" s="22" t="n">
        <x:v>-0.25608974166389586</x:v>
      </x:c>
      <x:c r="T37" s="22" t="n">
        <x:v>0.1406675754232345</x:v>
      </x:c>
      <x:c r="U37" s="16" t="n">
        <x:v>68.62500000000003</x:v>
      </x:c>
      <x:c r="V37" t="str">
        <x:v>Low</x:v>
      </x:c>
      <x:c r="W37" s="16" t="n">
        <x:v>4.681230358887813</x:v>
      </x:c>
      <x:c r="X37" t="str">
        <x:v>AI demand strong but high expectations/competition ahead of earnings</x:v>
      </x:c>
    </x:row>
    <x:row r="38">
      <x:c r="A38" t="n">
        <x:v>34</x:v>
      </x:c>
      <x:c r="B38" t="str">
        <x:v>QQQ</x:v>
      </x:c>
      <x:c r="C38" t="str">
        <x:v>AMAT</x:v>
      </x:c>
      <x:c r="D38" t="str">
        <x:v>Applied Materials</x:v>
      </x:c>
      <x:c r="E38" t="str">
        <x:v>A</x:v>
      </x:c>
      <x:c r="F38" s="16" t="n">
        <x:v>40.11796713382427</x:v>
      </x:c>
      <x:c r="G38" s="16" t="n">
        <x:v>55</x:v>
      </x:c>
      <x:c r="H38" s="16" t="n">
        <x:v>72</x:v>
      </x:c>
      <x:c r="I38" s="16" t="n">
        <x:v>80</x:v>
      </x:c>
      <x:c r="J38" s="16" t="n">
        <x:v>71</x:v>
      </x:c>
      <x:c r="K38" s="16" t="n">
        <x:v>-17</x:v>
      </x:c>
      <x:c r="L38" s="16" t="str">
        <x:v>Moderate</x:v>
      </x:c>
      <x:c r="M38" s="16" t="n">
        <x:v>0.735</x:v>
      </x:c>
      <x:c r="N38" s="16" t="n">
        <x:v>40.85296713382427</x:v>
      </x:c>
      <x:c r="O38" t="n">
        <x:v>0</x:v>
      </x:c>
      <x:c r="P38" s="16" t="n">
        <x:v>55</x:v>
      </x:c>
      <x:c r="Q38" t="str">
        <x:v>Momentum / Weak Fundamentals</x:v>
      </x:c>
      <x:c r="R38" s="22" t="n">
        <x:v>-0.61723327512089</x:v>
      </x:c>
      <x:c r="S38" s="22" t="n">
        <x:v>-0.41433255176185535</x:v>
      </x:c>
      <x:c r="T38" s="22" t="n">
        <x:v>-0.13581803017068683</x:v>
      </x:c>
      <x:c r="U38" s="16" t="n">
        <x:v>63.60335195530723</x:v>
      </x:c>
      <x:c r="V38" t="str">
        <x:v>Low</x:v>
      </x:c>
      <x:c r="W38" s="16" t="n">
        <x:v>0</x:v>
      </x:c>
      <x:c r="X38" t="str">
        <x:v>AI-driven profits/revenue strong; stock/expectation volatility</x:v>
      </x:c>
    </x:row>
    <x:row r="39">
      <x:c r="A39" t="n">
        <x:v>35</x:v>
      </x:c>
      <x:c r="B39" t="str">
        <x:v>Healthcare</x:v>
      </x:c>
      <x:c r="C39" t="str">
        <x:v>GH</x:v>
      </x:c>
      <x:c r="D39" t="str">
        <x:v>Guardant Health</x:v>
      </x:c>
      <x:c r="E39" t="str">
        <x:v>B</x:v>
      </x:c>
      <x:c r="F39" s="16" t="n">
        <x:v>38.81587627156126</x:v>
      </x:c>
      <x:c r="G39" s="16" t="n">
        <x:v>55</x:v>
      </x:c>
      <x:c r="H39" s="16" t="n">
        <x:v>70</x:v>
      </x:c>
      <x:c r="I39" s="16" t="n">
        <x:v>82</x:v>
      </x:c>
      <x:c r="J39" s="16" t="n">
        <x:v>67.50999999999999</x:v>
      </x:c>
      <x:c r="K39" s="16" t="n">
        <x:v>-15</x:v>
      </x:c>
      <x:c r="L39" s="16" t="str">
        <x:v>Major</x:v>
      </x:c>
      <x:c r="M39" s="16" t="n">
        <x:v>0.8754999999999996</x:v>
      </x:c>
      <x:c r="N39" s="16" t="n">
        <x:v>39.69137627156126</x:v>
      </x:c>
      <x:c r="O39" t="n">
        <x:v>0</x:v>
      </x:c>
      <x:c r="P39" s="16" t="n">
        <x:v>80</x:v>
      </x:c>
      <x:c r="Q39" t="str">
        <x:v>Momentum / Weak Fundamentals</x:v>
      </x:c>
      <x:c r="R39" s="22" t="n">
        <x:v>-0.40526315789473677</x:v>
      </x:c>
      <x:c r="S39" s="22" t="n">
        <x:v>-0.12128482972136223</x:v>
      </x:c>
      <x:c r="T39" s="22" t="n">
        <x:v>0.5574303405572756</x:v>
      </x:c>
      <x:c r="U39" s="16" t="n">
        <x:v>9</x:v>
      </x:c>
      <x:c r="V39" t="str">
        <x:v>Low</x:v>
      </x:c>
      <x:c r="W39" s="16" t="n">
        <x:v>26.95350508624503</x:v>
      </x:c>
      <x:c r="X39" t="str">
        <x:v>FDA-approved liquid-biopsy momentum and analyst upgrades</x:v>
      </x:c>
    </x:row>
    <x:row r="40">
      <x:c r="A40" t="n">
        <x:v>36</x:v>
      </x:c>
      <x:c r="B40" t="str">
        <x:v>QQQ</x:v>
      </x:c>
      <x:c r="C40" t="str">
        <x:v>LRCX</x:v>
      </x:c>
      <x:c r="D40" t="str">
        <x:v>Lam Research</x:v>
      </x:c>
      <x:c r="E40" t="str">
        <x:v>A</x:v>
      </x:c>
      <x:c r="F40" s="16" t="n">
        <x:v>38.496211090909085</x:v>
      </x:c>
      <x:c r="G40" s="16" t="n">
        <x:v>70</x:v>
      </x:c>
      <x:c r="H40" s="16" t="n">
        <x:v>78</x:v>
      </x:c>
      <x:c r="I40" s="16" t="n">
        <x:v>82</x:v>
      </x:c>
      <x:c r="J40" s="16" t="n">
        <x:v>77.6</x:v>
      </x:c>
      <x:c r="K40" s="16" t="n">
        <x:v>-8</x:v>
      </x:c>
      <x:c r="L40" s="16" t="str">
        <x:v>Moderate</x:v>
      </x:c>
      <x:c r="M40" s="16" t="n">
        <x:v>0.9659999999999999</x:v>
      </x:c>
      <x:c r="N40" s="16" t="n">
        <x:v>39.462211090909086</x:v>
      </x:c>
      <x:c r="O40" t="n">
        <x:v>0</x:v>
      </x:c>
      <x:c r="P40" s="16" t="n">
        <x:v>50</x:v>
      </x:c>
      <x:c r="Q40" t="str">
        <x:v>Momentum / Weak Fundamentals</x:v>
      </x:c>
      <x:c r="R40" s="22" t="n">
        <x:v>-0.661690959966286</x:v>
      </x:c>
      <x:c r="S40" s="22" t="n">
        <x:v>-0.4698951353969577</x:v>
      </x:c>
      <x:c r="T40" s="22" t="n">
        <x:v>-0.2014604665283708</x:v>
      </x:c>
      <x:c r="U40" s="16" t="n">
        <x:v>63.88745454545455</x:v>
      </x:c>
      <x:c r="V40" t="str">
        <x:v>Low</x:v>
      </x:c>
      <x:c r="W40" s="16" t="n">
        <x:v>0</x:v>
      </x:c>
      <x:c r="X40" t="str">
        <x:v>$3B R&amp;D expansion + higher dividend + AI chip demand</x:v>
      </x:c>
    </x:row>
    <x:row r="41">
      <x:c r="A41" t="n">
        <x:v>37</x:v>
      </x:c>
      <x:c r="B41" t="str">
        <x:v>Healthcare</x:v>
      </x:c>
      <x:c r="C41" t="str">
        <x:v>BIO</x:v>
      </x:c>
      <x:c r="D41" t="str">
        <x:v>Bio-Rad Laboratories</x:v>
      </x:c>
      <x:c r="E41" t="str">
        <x:v>B</x:v>
      </x:c>
      <x:c r="F41" s="16" t="n">
        <x:v>38.136400291094</x:v>
      </x:c>
      <x:c r="G41" s="16" t="n">
        <x:v>50</x:v>
      </x:c>
      <x:c r="H41" s="16" t="n">
        <x:v>55</x:v>
      </x:c>
      <x:c r="I41" s="16" t="n">
        <x:v>55</x:v>
      </x:c>
      <x:c r="J41" s="16" t="n">
        <x:v>52.6</x:v>
      </x:c>
      <x:c r="K41" s="16" t="n">
        <x:v>-5</x:v>
      </x:c>
      <x:c r="L41" s="16" t="str">
        <x:v>Minor</x:v>
      </x:c>
      <x:c r="M41" s="16" t="n">
        <x:v>0.03900000000000003</x:v>
      </x:c>
      <x:c r="N41" s="16" t="n">
        <x:v>38.175400291094</x:v>
      </x:c>
      <x:c r="O41" t="n">
        <x:v>0</x:v>
      </x:c>
      <x:c r="P41" s="16" t="n">
        <x:v>35</x:v>
      </x:c>
      <x:c r="Q41" t="str">
        <x:v>Neutral / Watch</x:v>
      </x:c>
      <x:c r="R41" s="22" t="n">
        <x:v>-0.2776889347433582</x:v>
      </x:c>
      <x:c r="S41" s="22" t="n">
        <x:v>-0.06727495486200663</x:v>
      </x:c>
      <x:c r="T41" s="22" t="n">
        <x:v>0.2592081506319319</x:v>
      </x:c>
      <x:c r="U41" s="16" t="n">
        <x:v>42</x:v>
      </x:c>
      <x:c r="V41" t="str">
        <x:v>Low</x:v>
      </x:c>
      <x:c r="W41" s="16" t="n">
        <x:v>28.165601164375996</x:v>
      </x:c>
      <x:c r="X41" t="str">
        <x:v>Q2 results, but limited material newsflow</x:v>
      </x:c>
    </x:row>
    <x:row r="42">
      <x:c r="A42" t="n">
        <x:v>38</x:v>
      </x:c>
      <x:c r="B42" t="str">
        <x:v>QQQ</x:v>
      </x:c>
      <x:c r="C42" t="str">
        <x:v>PANW</x:v>
      </x:c>
      <x:c r="D42" t="str">
        <x:v>Palo Alto Networks</x:v>
      </x:c>
      <x:c r="E42" t="str">
        <x:v>A</x:v>
      </x:c>
      <x:c r="F42" s="16" t="n">
        <x:v>36.7730978054425</x:v>
      </x:c>
      <x:c r="G42" s="16" t="n">
        <x:v>75</x:v>
      </x:c>
      <x:c r="H42" s="16" t="n">
        <x:v>82</x:v>
      </x:c>
      <x:c r="I42" s="16" t="n">
        <x:v>80</x:v>
      </x:c>
      <x:c r="J42" s="16" t="n">
        <x:v>80</x:v>
      </x:c>
      <x:c r="K42" s="16" t="n">
        <x:v>-7</x:v>
      </x:c>
      <x:c r="L42" s="16" t="str">
        <x:v>Moderate</x:v>
      </x:c>
      <x:c r="M42" s="16" t="n">
        <x:v>1.0499999999999998</x:v>
      </x:c>
      <x:c r="N42" s="16" t="n">
        <x:v>37.823097805442494</x:v>
      </x:c>
      <x:c r="O42" t="n">
        <x:v>0</x:v>
      </x:c>
      <x:c r="P42" s="16" t="n">
        <x:v>60</x:v>
      </x:c>
      <x:c r="Q42" t="str">
        <x:v>Momentum / Weak Fundamentals</x:v>
      </x:c>
      <x:c r="R42" s="22" t="n">
        <x:v>-0.614062761374356</x:v>
      </x:c>
      <x:c r="S42" s="22" t="n">
        <x:v>-0.4034612735979276</x:v>
      </x:c>
      <x:c r="T42" s="22" t="n">
        <x:v>-0.14318840630082652</x:v>
      </x:c>
      <x:c r="U42" s="16" t="n">
        <x:v>53.65479452054788</x:v>
      </x:c>
      <x:c r="V42" t="str">
        <x:v>Low</x:v>
      </x:c>
      <x:c r="W42" s="16" t="n">
        <x:v>0</x:v>
      </x:c>
      <x:c r="X42" t="str">
        <x:v>Strong Q4 and FY27 outlook; AI cyber demand; FCF margin watch</x:v>
      </x:c>
    </x:row>
    <x:row r="43">
      <x:c r="A43" t="n">
        <x:v>39</x:v>
      </x:c>
      <x:c r="B43" t="str">
        <x:v>QQQ</x:v>
      </x:c>
      <x:c r="C43" t="str">
        <x:v>PLTR</x:v>
      </x:c>
      <x:c r="D43" t="str">
        <x:v>Palantir Technologies</x:v>
      </x:c>
      <x:c r="E43" t="str">
        <x:v>A</x:v>
      </x:c>
      <x:c r="F43" s="16" t="n">
        <x:v>29.505223106144822</x:v>
      </x:c>
      <x:c r="G43" s="16" t="n">
        <x:v>82</x:v>
      </x:c>
      <x:c r="H43" s="16" t="n">
        <x:v>88</x:v>
      </x:c>
      <x:c r="I43" s="16" t="n">
        <x:v>85</x:v>
      </x:c>
      <x:c r="J43" s="16" t="n">
        <x:v>85.9</x:v>
      </x:c>
      <x:c r="K43" s="16" t="n">
        <x:v>-6</x:v>
      </x:c>
      <x:c r="L43" s="16" t="str">
        <x:v>Major</x:v>
      </x:c>
      <x:c r="M43" s="16" t="n">
        <x:v>1.7950000000000004</x:v>
      </x:c>
      <x:c r="N43" s="16" t="n">
        <x:v>31.300223106144824</x:v>
      </x:c>
      <x:c r="O43" t="n">
        <x:v>2</x:v>
      </x:c>
      <x:c r="P43" s="16" t="n">
        <x:v>55</x:v>
      </x:c>
      <x:c r="Q43" t="str">
        <x:v>Momentum / Weak Fundamentals</x:v>
      </x:c>
      <x:c r="R43" s="22" t="n">
        <x:v>-0.6787351242650628</x:v>
      </x:c>
      <x:c r="S43" s="22" t="n">
        <x:v>-0.5320543455245818</x:v>
      </x:c>
      <x:c r="T43" s="22" t="n">
        <x:v>-0.32779642375222784</x:v>
      </x:c>
      <x:c r="U43" s="16" t="n">
        <x:v>14.486714841578587</x:v>
      </x:c>
      <x:c r="V43" t="str">
        <x:v>Low</x:v>
      </x:c>
      <x:c r="W43" s="16" t="n">
        <x:v>0</x:v>
      </x:c>
      <x:c r="X43" t="str">
        <x:v>Standout earnings; major software-sector momentum</x:v>
      </x:c>
    </x:row>
    <x:row r="44">
      <x:c r="A44" t="n">
        <x:v>40</x:v>
      </x:c>
      <x:c r="B44" t="str">
        <x:v>QQQ</x:v>
      </x:c>
      <x:c r="C44" t="str">
        <x:v>WMT</x:v>
      </x:c>
      <x:c r="D44" t="str">
        <x:v>Walmart</x:v>
      </x:c>
      <x:c r="E44" t="str">
        <x:v>A</x:v>
      </x:c>
      <x:c r="F44" s="16" t="n">
        <x:v>30.182811252288587</x:v>
      </x:c>
      <x:c r="G44" s="16" t="n">
        <x:v>55</x:v>
      </x:c>
      <x:c r="H44" s="16" t="n">
        <x:v>65</x:v>
      </x:c>
      <x:c r="I44" s="16" t="n">
        <x:v>65</x:v>
      </x:c>
      <x:c r="J44" s="16" t="n">
        <x:v>61.05</x:v>
      </x:c>
      <x:c r="K44" s="16" t="n">
        <x:v>-10</x:v>
      </x:c>
      <x:c r="L44" s="16" t="str">
        <x:v>Moderate</x:v>
      </x:c>
      <x:c r="M44" s="16" t="n">
        <x:v>0.38674999999999987</x:v>
      </x:c>
      <x:c r="N44" s="16" t="n">
        <x:v>30.569561252288587</x:v>
      </x:c>
      <x:c r="O44" t="n">
        <x:v>-1</x:v>
      </x:c>
      <x:c r="P44" s="16" t="n">
        <x:v>35</x:v>
      </x:c>
      <x:c r="Q44" t="str">
        <x:v>Momentum / Weak Fundamentals</x:v>
      </x:c>
      <x:c r="R44" s="22" t="n">
        <x:v>-0.5739983380101126</x:v>
      </x:c>
      <x:c r="S44" s="22" t="n">
        <x:v>-0.3760798820189375</x:v>
      </x:c>
      <x:c r="T44" s="22" t="n">
        <x:v>0.05160062187153169</x:v>
      </x:c>
      <x:c r="U44" s="16" t="n">
        <x:v>38.823529411764646</x:v>
      </x:c>
      <x:c r="V44" t="str">
        <x:v>Low</x:v>
      </x:c>
      <x:c r="W44" s="16" t="n">
        <x:v>2.427588258845866</x:v>
      </x:c>
      <x:c r="X44" t="str">
        <x:v>Latest Q2 results / resilient retail demand; limited catalyst</x:v>
      </x:c>
    </x:row>
    <x:row r="45">
      <x:c r="A45" t="n">
        <x:v>41</x:v>
      </x:c>
      <x:c r="B45" t="str">
        <x:v>QQQ</x:v>
      </x:c>
      <x:c r="C45" t="str">
        <x:v>COST</x:v>
      </x:c>
      <x:c r="D45" t="str">
        <x:v>Costco Wholesale</x:v>
      </x:c>
      <x:c r="E45" t="str">
        <x:v>A</x:v>
      </x:c>
      <x:c r="F45" s="16" t="n">
        <x:v>30.053459885133872</x:v>
      </x:c>
      <x:c r="G45" s="16" t="n">
        <x:v>48</x:v>
      </x:c>
      <x:c r="H45" s="16" t="n">
        <x:v>55</x:v>
      </x:c>
      <x:c r="I45" s="16" t="n">
        <x:v>60</x:v>
      </x:c>
      <x:c r="J45" s="16" t="n">
        <x:v>54.335</x:v>
      </x:c>
      <x:c r="K45" s="16" t="n">
        <x:v>-7</x:v>
      </x:c>
      <x:c r="L45" s="16" t="str">
        <x:v>Minor</x:v>
      </x:c>
      <x:c r="M45" s="16" t="n">
        <x:v>0.06502500000000001</x:v>
      </x:c>
      <x:c r="N45" s="16" t="n">
        <x:v>30.11848488513387</x:v>
      </x:c>
      <x:c r="O45" t="n">
        <x:v>-1</x:v>
      </x:c>
      <x:c r="P45" s="16" t="n">
        <x:v>30</x:v>
      </x:c>
      <x:c r="Q45" t="str">
        <x:v>Neutral / Watch</x:v>
      </x:c>
      <x:c r="R45" s="22" t="n">
        <x:v>-0.5150684464092563</x:v>
      </x:c>
      <x:c r="S45" s="22" t="n">
        <x:v>-0.26567902451114356</x:v>
      </x:c>
      <x:c r="T45" s="22" t="n">
        <x:v>-0.00038770193383397267</x:v>
      </x:c>
      <x:c r="U45" s="16"/>
      <x:c r="V45" t="str">
        <x:v>N/A</x:v>
      </x:c>
      <x:c r="W45" s="16" t="n">
        <x:v>3.7157554695950354</x:v>
      </x:c>
      <x:c r="X45" t="str">
        <x:v>Stable fundamentals, recent stock underperformance and few catalysts</x:v>
      </x:c>
    </x:row>
    <x:row r="46">
      <x:c r="A46" t="n">
        <x:v>42</x:v>
      </x:c>
      <x:c r="B46" t="str">
        <x:v>QQQ</x:v>
      </x:c>
      <x:c r="C46" t="str">
        <x:v>AMD</x:v>
      </x:c>
      <x:c r="D46" t="str">
        <x:v>Advanced Micro Devices</x:v>
      </x:c>
      <x:c r="E46" t="str">
        <x:v>A</x:v>
      </x:c>
      <x:c r="F46" s="16" t="n">
        <x:v>27.945802478164687</x:v>
      </x:c>
      <x:c r="G46" s="16" t="n">
        <x:v>75</x:v>
      </x:c>
      <x:c r="H46" s="16" t="n">
        <x:v>82</x:v>
      </x:c>
      <x:c r="I46" s="16" t="n">
        <x:v>80</x:v>
      </x:c>
      <x:c r="J46" s="16" t="n">
        <x:v>80</x:v>
      </x:c>
      <x:c r="K46" s="16" t="n">
        <x:v>-7</x:v>
      </x:c>
      <x:c r="L46" s="16" t="str">
        <x:v>Major</x:v>
      </x:c>
      <x:c r="M46" s="16" t="n">
        <x:v>1.5</x:v>
      </x:c>
      <x:c r="N46" s="16" t="n">
        <x:v>29.445802478164687</x:v>
      </x:c>
      <x:c r="O46" t="n">
        <x:v>1</x:v>
      </x:c>
      <x:c r="P46" s="16" t="n">
        <x:v>60</x:v>
      </x:c>
      <x:c r="Q46" t="str">
        <x:v>Momentum / Weak Fundamentals</x:v>
      </x:c>
      <x:c r="R46" s="22" t="n">
        <x:v>-0.6450181957140368</x:v>
      </x:c>
      <x:c r="S46" s="22" t="n">
        <x:v>-0.4810132383822975</x:v>
      </x:c>
      <x:c r="T46" s="22" t="n">
        <x:v>-0.27951677740431435</x:v>
      </x:c>
      <x:c r="U46" s="16" t="n">
        <x:v>36.9561224489796</x:v>
      </x:c>
      <x:c r="V46" t="str">
        <x:v>Medium</x:v>
      </x:c>
      <x:c r="W46" s="16" t="n">
        <x:v>0</x:v>
      </x:c>
      <x:c r="X46" t="str">
        <x:v>AI partnerships, inference acquisition, deployments grow</x:v>
      </x:c>
    </x:row>
    <x:row r="47">
      <x:c r="A47" t="n">
        <x:v>43</x:v>
      </x:c>
      <x:c r="B47" t="str">
        <x:v>QQQ</x:v>
      </x:c>
      <x:c r="C47" t="str">
        <x:v>INTC</x:v>
      </x:c>
      <x:c r="D47" t="str">
        <x:v>Intel</x:v>
      </x:c>
      <x:c r="E47" t="str">
        <x:v>A</x:v>
      </x:c>
      <x:c r="F47" s="16" t="n">
        <x:v>28.38698258391608</x:v>
      </x:c>
      <x:c r="G47" s="16" t="n">
        <x:v>30</x:v>
      </x:c>
      <x:c r="H47" s="16" t="n">
        <x:v>35</x:v>
      </x:c>
      <x:c r="I47" s="16" t="n">
        <x:v>45</x:v>
      </x:c>
      <x:c r="J47" s="16" t="n">
        <x:v>37</x:v>
      </x:c>
      <x:c r="K47" s="16" t="n">
        <x:v>-5</x:v>
      </x:c>
      <x:c r="L47" s="16" t="str">
        <x:v>Major</x:v>
      </x:c>
      <x:c r="M47" s="16" t="n">
        <x:v>-0.65</x:v>
      </x:c>
      <x:c r="N47" s="16" t="n">
        <x:v>27.73698258391608</x:v>
      </x:c>
      <x:c r="O47" t="n">
        <x:v>-1</x:v>
      </x:c>
      <x:c r="P47" s="16" t="n">
        <x:v>80</x:v>
      </x:c>
      <x:c r="Q47" t="str">
        <x:v>Weak Fundamentals / Negative Sentiment</x:v>
      </x:c>
      <x:c r="R47" s="22" t="n">
        <x:v>-0.8304047405527272</x:v>
      </x:c>
      <x:c r="S47" s="22" t="n">
        <x:v>-0.6389685985962893</x:v>
      </x:c>
      <x:c r="T47" s="22" t="n">
        <x:v>-0.12344817042977485</x:v>
      </x:c>
      <x:c r="U47" s="16" t="n">
        <x:v>0</x:v>
      </x:c>
      <x:c r="V47" t="str">
        <x:v>Low</x:v>
      </x:c>
      <x:c r="W47" s="16" t="n">
        <x:v>0</x:v>
      </x:c>
      <x:c r="X47" t="str">
        <x:v>Q2 followed by large equity offering/dilution</x:v>
      </x:c>
    </x:row>
    <x:row r="48">
      <x:c r="A48" t="n">
        <x:v>44</x:v>
      </x:c>
      <x:c r="B48" t="str">
        <x:v>QQQ</x:v>
      </x:c>
      <x:c r="C48" t="str">
        <x:v>SPCX</x:v>
      </x:c>
      <x:c r="D48" t="str">
        <x:v>SpaceX</x:v>
      </x:c>
      <x:c r="E48" t="str">
        <x:v>B</x:v>
      </x:c>
      <x:c r="F48" s="16" t="n">
        <x:v>25.913149838396897</x:v>
      </x:c>
      <x:c r="G48" s="16" t="n">
        <x:v>70</x:v>
      </x:c>
      <x:c r="H48" s="16" t="n">
        <x:v>75</x:v>
      </x:c>
      <x:c r="I48" s="16" t="n">
        <x:v>72</x:v>
      </x:c>
      <x:c r="J48" s="16" t="n">
        <x:v>73.1</x:v>
      </x:c>
      <x:c r="K48" s="16" t="n">
        <x:v>-5</x:v>
      </x:c>
      <x:c r="L48" s="16" t="str">
        <x:v>Major</x:v>
      </x:c>
      <x:c r="M48" s="16" t="n">
        <x:v>1.1549999999999998</x:v>
      </x:c>
      <x:c r="N48" s="16" t="n">
        <x:v>27.0681498383969</x:v>
      </x:c>
      <x:c r="O48" t="n">
        <x:v>0</x:v>
      </x:c>
      <x:c r="P48" s="16" t="n">
        <x:v>80</x:v>
      </x:c>
      <x:c r="Q48" t="str">
        <x:v>Momentum / Weak Fundamentals</x:v>
      </x:c>
      <x:c r="R48" s="22" t="n">
        <x:v>-0.37</x:v>
      </x:c>
      <x:c r="S48" s="22" t="n">
        <x:v>0.10000000000000009</x:v>
      </x:c>
      <x:c r="T48" s="22" t="n">
        <x:v>0.625</x:v>
      </x:c>
      <x:c r="U48" s="16"/>
      <x:c r="V48" t="str">
        <x:v>N/A</x:v>
      </x:c>
      <x:c r="W48" s="16" t="n">
        <x:v>42.830357142857146</x:v>
      </x:c>
      <x:c r="X48" t="str">
        <x:v>DOD AI integration/vertical expansion; Crew mission delay</x:v>
      </x:c>
    </x:row>
    <x:row r="49">
      <x:c r="A49" t="n">
        <x:v>45</x:v>
      </x:c>
      <x:c r="B49" t="str">
        <x:v>QQQ</x:v>
      </x:c>
      <x:c r="C49" t="str">
        <x:v>TSLA</x:v>
      </x:c>
      <x:c r="D49" t="str">
        <x:v>Tesla</x:v>
      </x:c>
      <x:c r="E49" t="str">
        <x:v>A</x:v>
      </x:c>
      <x:c r="F49" s="16" t="n">
        <x:v>19.809799411764704</x:v>
      </x:c>
      <x:c r="G49" s="16" t="n">
        <x:v>55</x:v>
      </x:c>
      <x:c r="H49" s="16" t="n">
        <x:v>55</x:v>
      </x:c>
      <x:c r="I49" s="16" t="n">
        <x:v>50</x:v>
      </x:c>
      <x:c r="J49" s="16" t="n">
        <x:v>53.5</x:v>
      </x:c>
      <x:c r="K49" s="16" t="n">
        <x:v>0</x:v>
      </x:c>
      <x:c r="L49" s="16" t="str">
        <x:v>Major</x:v>
      </x:c>
      <x:c r="M49" s="16" t="n">
        <x:v>0.17500000000000002</x:v>
      </x:c>
      <x:c r="N49" s="16" t="n">
        <x:v>19.984799411764705</x:v>
      </x:c>
      <x:c r="O49" t="n">
        <x:v>0</x:v>
      </x:c>
      <x:c r="P49" s="16" t="n">
        <x:v>85</x:v>
      </x:c>
      <x:c r="Q49" t="str">
        <x:v>Neutral / Watch</x:v>
      </x:c>
      <x:c r="R49" s="22" t="n">
        <x:v>-0.8454830197871182</x:v>
      </x:c>
      <x:c r="S49" s="22" t="n">
        <x:v>-0.7561746190074125</x:v>
      </x:c>
      <x:c r="T49" s="22" t="n">
        <x:v>-0.6066279345624588</x:v>
      </x:c>
      <x:c r="U49" s="16"/>
      <x:c r="V49" t="str">
        <x:v>N/A</x:v>
      </x:c>
      <x:c r="W49" s="16" t="n">
        <x:v>0</x:v>
      </x:c>
      <x:c r="X49" t="str">
        <x:v>Cybercab/FSD excitement vs slow robotaxi scaling/competition</x:v>
      </x:c>
    </x:row>
  </x:sheetData>
  <x:mergeCells>
    <x:mergeCell ref="A1:X1"/>
    <x:mergeCell ref="A2:X2"/>
  </x:mergeCells>
  <x:conditionalFormatting sqref="J5:J49">
    <x:cfRule type="colorScale" priority="1">
      <x:colorScale>
        <x:cfvo type="min"/>
        <x:cfvo type="percentile" val="50"/>
        <x:cfvo type="max"/>
        <x:color rgb="FFD7B7A3"/>
        <x:color rgb="FFF7F6EF"/>
        <x:color rgb="FFA9C2A3"/>
      </x:colorScale>
    </x:cfRule>
  </x:conditionalFormatting>
  <x:conditionalFormatting sqref="M5:M49">
    <x:cfRule type="colorScale" priority="2">
      <x:colorScale>
        <x:cfvo type="min"/>
        <x:cfvo type="percentile" val="50"/>
        <x:cfvo type="max"/>
        <x:color rgb="FFD7B7A3"/>
        <x:color rgb="FFF7F6EF"/>
        <x:color rgb="FFA9C2A3"/>
      </x:colorScale>
    </x:cfRule>
  </x:conditionalFormatting>
  <x:conditionalFormatting sqref="N5:N49">
    <x:cfRule type="colorScale" priority="3">
      <x:colorScale>
        <x:cfvo type="min"/>
        <x:cfvo type="percentile" val="50"/>
        <x:cfvo type="max"/>
        <x:color rgb="FFD7B7A3"/>
        <x:color rgb="FFEFE5D2"/>
        <x:color rgb="FFA9C2A3"/>
      </x:colorScale>
    </x:cfRule>
  </x:conditionalFormatting>
  <x:conditionalFormatting sqref="P5:P49">
    <x:cfRule type="colorScale" priority="4">
      <x:colorScale>
        <x:cfvo type="min"/>
        <x:cfvo type="percentile" val="50"/>
        <x:cfvo type="max"/>
        <x:color rgb="FFA9C2A3"/>
        <x:color rgb="FFEFE5D2"/>
        <x:color rgb="FFD7B7A3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25" hidden="0" customWidth="1"/>
    <x:col min="4" max="4" width="10" hidden="0" customWidth="1"/>
    <x:col min="5" max="5" width="12" hidden="0" customWidth="1"/>
    <x:col min="6" max="6" width="14" hidden="0" customWidth="1"/>
    <x:col min="7" max="7" width="16" hidden="0" customWidth="1"/>
    <x:col min="8" max="8" width="16" hidden="0" customWidth="1"/>
    <x:col min="9" max="9" width="10" hidden="0" customWidth="1"/>
    <x:col min="10" max="10" width="15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0" hidden="0" customWidth="1"/>
    <x:col min="19" max="19" width="12" hidden="0" customWidth="1"/>
    <x:col min="20" max="20" width="13" hidden="0" customWidth="1"/>
    <x:col min="21" max="21" width="13" hidden="0" customWidth="1"/>
    <x:col min="22" max="22" width="13" hidden="0" customWidth="1"/>
    <x:col min="23" max="23" width="11" hidden="0" customWidth="1"/>
    <x:col min="24" max="24" width="11" hidden="0" customWidth="1"/>
    <x:col min="25" max="25" width="11" hidden="0" customWidth="1"/>
    <x:col min="26" max="26" width="13" hidden="0" customWidth="1"/>
    <x:col min="27" max="27" width="16" hidden="0" customWidth="1"/>
    <x:col min="28" max="28" width="28" hidden="0" customWidth="1"/>
    <x:col min="29" max="29" width="45" hidden="0" customWidth="1"/>
    <x:col min="30" max="30" width="18" hidden="0" customWidth="1"/>
    <x:col min="31" max="31" width="75" hidden="0" customWidth="1"/>
  </x:cols>
  <x:sheetData>
    <x:row r="1">
      <x:c r="A1" s="24" t="str">
        <x:v>Fundamental Integrated Model — Sentiment Excluded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</x:row>
    <x:row r="3">
      <x:c r="A3" s="9" t="str">
        <x:v>Universe</x:v>
      </x:c>
      <x:c r="B3" s="9" t="str">
        <x:v>Ticker</x:v>
      </x:c>
      <x:c r="C3" s="9" t="str">
        <x:v>Company</x:v>
      </x:c>
      <x:c r="D3" s="9" t="str">
        <x:v>Coverage</x:v>
      </x:c>
      <x:c r="E3" s="9" t="str">
        <x:v>EQ Composite</x:v>
      </x:c>
      <x:c r="F3" s="9" t="str">
        <x:v>Valuation Composite</x:v>
      </x:c>
      <x:c r="G3" s="9" t="str">
        <x:v>Guidance Credibility</x:v>
      </x:c>
      <x:c r="H3" s="9" t="str">
        <x:v>Guidance Confidence</x:v>
      </x:c>
      <x:c r="I3" s="9" t="str">
        <x:v>Guidance Obs</x:v>
      </x:c>
      <x:c r="J3" s="9" t="str">
        <x:v>Conf-Adj Guidance</x:v>
      </x:c>
      <x:c r="K3" s="9" t="str">
        <x:v>Current Price</x:v>
      </x:c>
      <x:c r="L3" s="9" t="str">
        <x:v>Market Bear</x:v>
      </x:c>
      <x:c r="M3" s="9" t="str">
        <x:v>Market Base</x:v>
      </x:c>
      <x:c r="N3" s="9" t="str">
        <x:v>Market Bull</x:v>
      </x:c>
      <x:c r="O3" s="9" t="str">
        <x:v>Fundamental Bear</x:v>
      </x:c>
      <x:c r="P3" s="9" t="str">
        <x:v>Fundamental Base</x:v>
      </x:c>
      <x:c r="Q3" s="9" t="str">
        <x:v>Fundamental Bull</x:v>
      </x:c>
      <x:c r="R3" s="9" t="str">
        <x:v>Market Wt</x:v>
      </x:c>
      <x:c r="S3" s="9" t="str">
        <x:v>Fundamental Wt</x:v>
      </x:c>
      <x:c r="T3" s="9" t="str">
        <x:v>Hybrid Bear</x:v>
      </x:c>
      <x:c r="U3" s="9" t="str">
        <x:v>Hybrid Base</x:v>
      </x:c>
      <x:c r="V3" s="9" t="str">
        <x:v>Hybrid Bull</x:v>
      </x:c>
      <x:c r="W3" s="9" t="str">
        <x:v>Bear %</x:v>
      </x:c>
      <x:c r="X3" s="9" t="str">
        <x:v>Base %</x:v>
      </x:c>
      <x:c r="Y3" s="9" t="str">
        <x:v>Bull %</x:v>
      </x:c>
      <x:c r="Z3" s="9" t="str">
        <x:v>Scenario Score</x:v>
      </x:c>
      <x:c r="AA3" s="9" t="str">
        <x:v>Fundamental Integrated</x:v>
      </x:c>
      <x:c r="AB3" s="9" t="str">
        <x:v>Market Method</x:v>
      </x:c>
      <x:c r="AC3" s="9" t="str">
        <x:v>Fundamental Method</x:v>
      </x:c>
      <x:c r="AD3" s="9" t="str">
        <x:v>Scenario Mix</x:v>
      </x:c>
      <x:c r="AE3" s="9" t="str">
        <x:v>Model Note</x:v>
      </x:c>
    </x:row>
    <x:row r="4">
      <x:c r="A4" t="str">
        <x:v>Healthcare</x:v>
      </x:c>
      <x:c r="B4" t="str">
        <x:v>REGN</x:v>
      </x:c>
      <x:c r="C4" t="str">
        <x:v>Regeneron</x:v>
      </x:c>
      <x:c r="D4" t="str">
        <x:v>B</x:v>
      </x:c>
      <x:c r="E4" s="16" t="n">
        <x:v>82</x:v>
      </x:c>
      <x:c r="F4" s="16" t="n">
        <x:v>75</x:v>
      </x:c>
      <x:c r="G4" s="16"/>
      <x:c r="H4" s="16" t="str">
        <x:v>N/A</x:v>
      </x:c>
      <x:c r="I4" s="16" t="n">
        <x:v>0</x:v>
      </x:c>
      <x:c r="J4" s="16"/>
      <x:c r="K4" s="18" t="n">
        <x:v>794.19</x:v>
      </x:c>
      <x:c r="L4" s="18" t="n">
        <x:v>635.3520000000001</x:v>
      </x:c>
      <x:c r="M4" s="18" t="n">
        <x:v>873.6090000000002</x:v>
      </x:c>
      <x:c r="N4" s="18" t="n">
        <x:v>1111.866</x:v>
      </x:c>
      <x:c r="O4" s="18" t="n">
        <x:v>690</x:v>
      </x:c>
      <x:c r="P4" s="18" t="n">
        <x:v>930</x:v>
      </x:c>
      <x:c r="Q4" s="18" t="n">
        <x:v>1120</x:v>
      </x:c>
      <x:c r="R4" s="20" t="n">
        <x:v>0.5</x:v>
      </x:c>
      <x:c r="S4" s="20" t="n">
        <x:v>0.5</x:v>
      </x:c>
      <x:c r="T4" s="18" t="n">
        <x:v>662.676</x:v>
      </x:c>
      <x:c r="U4" s="18" t="n">
        <x:v>901.8045000000001</x:v>
      </x:c>
      <x:c r="V4" s="18" t="n">
        <x:v>1115.933</x:v>
      </x:c>
      <x:c r="W4" s="22" t="n">
        <x:v>-0.16559513466550824</x:v>
      </x:c>
      <x:c r="X4" s="22" t="n">
        <x:v>0.1355022097986629</x:v>
      </x:c>
      <x:c r="Y4" s="22" t="n">
        <x:v>0.40512094083279804</x:v>
      </x:c>
      <x:c r="Z4" s="16" t="n">
        <x:v>48.30479122484184</x:v>
      </x:c>
      <x:c r="AA4" s="16" t="n">
        <x:v>69.61905624260054</x:v>
      </x:c>
      <x:c r="AB4" t="str">
        <x:v>Standardized scenario proxy (reconstruction)</x:v>
      </x:c>
      <x:c r="AC4" t="str">
        <x:v>Normalized earnings / cash-flow valuation</x:v>
      </x:c>
      <x:c r="AD4" t="str">
        <x:v>Hybrid 50/50</x:v>
      </x:c>
      <x:c r="AE4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5">
      <x:c r="A5" t="str">
        <x:v>QQQ</x:v>
      </x:c>
      <x:c r="B5" t="str">
        <x:v>META</x:v>
      </x:c>
      <x:c r="C5" t="str">
        <x:v>Meta Platforms</x:v>
      </x:c>
      <x:c r="D5" t="str">
        <x:v>A</x:v>
      </x:c>
      <x:c r="E5" s="16" t="n">
        <x:v>83.06612499999999</x:v>
      </x:c>
      <x:c r="F5" s="16" t="n">
        <x:v>60.31011727272727</x:v>
      </x:c>
      <x:c r="G5" s="16" t="n">
        <x:v>69.46135064935065</x:v>
      </x:c>
      <x:c r="H5" s="16" t="str">
        <x:v>Medium/Low</x:v>
      </x:c>
      <x:c r="I5" s="16" t="n">
        <x:v>2</x:v>
      </x:c>
      <x:c r="J5" s="16" t="n">
        <x:v>55.56908051948052</x:v>
      </x:c>
      <x:c r="K5" s="18" t="n">
        <x:v>572.34</x:v>
      </x:c>
      <x:c r="L5" s="18" t="n">
        <x:v>539.4336872171947</x:v>
      </x:c>
      <x:c r="M5" s="18" t="n">
        <x:v>801.2112556561088</x:v>
      </x:c>
      <x:c r="N5" s="18" t="n">
        <x:v>987.2500813065611</x:v>
      </x:c>
      <x:c r="O5" s="18" t="n">
        <x:v>336.9682870848392</x:v>
      </x:c>
      <x:c r="P5" s="18" t="n">
        <x:v>604.1355665012455</x:v>
      </x:c>
      <x:c r="Q5" s="18" t="n">
        <x:v>1023.8343548332876</x:v>
      </x:c>
      <x:c r="R5" s="20" t="n">
        <x:v>0.5</x:v>
      </x:c>
      <x:c r="S5" s="20" t="n">
        <x:v>0.5</x:v>
      </x:c>
      <x:c r="T5" s="18" t="n">
        <x:v>438.20098715101693</x:v>
      </x:c>
      <x:c r="U5" s="18" t="n">
        <x:v>702.6734110786772</x:v>
      </x:c>
      <x:c r="V5" s="18" t="n">
        <x:v>1005.5422180699244</x:v>
      </x:c>
      <x:c r="W5" s="22" t="n">
        <x:v>-0.23436945320785385</x:v>
      </x:c>
      <x:c r="X5" s="22" t="n">
        <x:v>0.22772025558003484</x:v>
      </x:c>
      <x:c r="Y5" s="22" t="n">
        <x:v>0.7568966314951329</x:v>
      </x:c>
      <x:c r="Z5" s="16" t="n">
        <x:v>59.35990967125099</x:v>
      </x:c>
      <x:c r="AA5" s="16" t="n">
        <x:v>66.188212177553</x:v>
      </x:c>
      <x:c r="AB5" t="str">
        <x:v>Forward EPS × own 20Q forward-P/E bands</x:v>
      </x:c>
      <x:c r="AC5" t="str">
        <x:v>5Y normalized-FCF DCF</x:v>
      </x:c>
      <x:c r="AD5" t="str">
        <x:v>Hybrid 50/50</x:v>
      </x:c>
      <x:c r="AE5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6">
      <x:c r="A6" t="str">
        <x:v>Healthcare</x:v>
      </x:c>
      <x:c r="B6" t="str">
        <x:v>SNY</x:v>
      </x:c>
      <x:c r="C6" t="str">
        <x:v>Sanofi</x:v>
      </x:c>
      <x:c r="D6" t="str">
        <x:v>B</x:v>
      </x:c>
      <x:c r="E6" s="16" t="n">
        <x:v>90</x:v>
      </x:c>
      <x:c r="F6" s="16" t="n">
        <x:v>80</x:v>
      </x:c>
      <x:c r="G6" s="16" t="n">
        <x:v>33</x:v>
      </x:c>
      <x:c r="H6" s="16" t="str">
        <x:v>Low</x:v>
      </x:c>
      <x:c r="I6" s="16" t="n">
        <x:v>1</x:v>
      </x:c>
      <x:c r="J6" s="16" t="n">
        <x:v>21.45</x:v>
      </x:c>
      <x:c r="K6" s="18" t="n">
        <x:v>44.82</x:v>
      </x:c>
      <x:c r="L6" s="18" t="n">
        <x:v>35.856</x:v>
      </x:c>
      <x:c r="M6" s="18" t="n">
        <x:v>49.30200000000001</x:v>
      </x:c>
      <x:c r="N6" s="18" t="n">
        <x:v>62.748</x:v>
      </x:c>
      <x:c r="O6" s="18" t="n">
        <x:v>37</x:v>
      </x:c>
      <x:c r="P6" s="18" t="n">
        <x:v>52</x:v>
      </x:c>
      <x:c r="Q6" s="18" t="n">
        <x:v>63</x:v>
      </x:c>
      <x:c r="R6" s="20" t="n">
        <x:v>0.5</x:v>
      </x:c>
      <x:c r="S6" s="20" t="n">
        <x:v>0.5</x:v>
      </x:c>
      <x:c r="T6" s="18" t="n">
        <x:v>36.428</x:v>
      </x:c>
      <x:c r="U6" s="18" t="n">
        <x:v>50.651</x:v>
      </x:c>
      <x:c r="V6" s="18" t="n">
        <x:v>62.873999999999995</x:v>
      </x:c>
      <x:c r="W6" s="22" t="n">
        <x:v>-0.18723784024988854</x:v>
      </x:c>
      <x:c r="X6" s="22" t="n">
        <x:v>0.13009817045961625</x:v>
      </x:c>
      <x:c r="Y6" s="22" t="n">
        <x:v>0.4028112449799195</x:v>
      </x:c>
      <x:c r="Z6" s="16" t="n">
        <x:v>46.99137821125772</x:v>
      </x:c>
      <x:c r="AA6" s="16" t="n">
        <x:v>65.96534455281443</x:v>
      </x:c>
      <x:c r="AB6" t="str">
        <x:v>Standardized scenario proxy (reconstruction)</x:v>
      </x:c>
      <x:c r="AC6" t="str">
        <x:v>Normalized earnings / cash-flow valuation</x:v>
      </x:c>
      <x:c r="AD6" t="str">
        <x:v>Hybrid 50/50</x:v>
      </x:c>
      <x:c r="AE6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7">
      <x:c r="A7" t="str">
        <x:v>Healthcare</x:v>
      </x:c>
      <x:c r="B7" t="str">
        <x:v>RHHBY</x:v>
      </x:c>
      <x:c r="C7" t="str">
        <x:v>Roche</x:v>
      </x:c>
      <x:c r="D7" t="str">
        <x:v>B</x:v>
      </x:c>
      <x:c r="E7" s="16" t="n">
        <x:v>80</x:v>
      </x:c>
      <x:c r="F7" s="16" t="n">
        <x:v>70</x:v>
      </x:c>
      <x:c r="G7" s="16" t="n">
        <x:v>56.8</x:v>
      </x:c>
      <x:c r="H7" s="16" t="str">
        <x:v>High</x:v>
      </x:c>
      <x:c r="I7" s="16" t="n">
        <x:v>5</x:v>
      </x:c>
      <x:c r="J7" s="16" t="n">
        <x:v>56.8</x:v>
      </x:c>
      <x:c r="K7" s="18" t="n">
        <x:v>55.19</x:v>
      </x:c>
      <x:c r="L7" s="18" t="n">
        <x:v>44.152</x:v>
      </x:c>
      <x:c r="M7" s="18" t="n">
        <x:v>60.709</x:v>
      </x:c>
      <x:c r="N7" s="18" t="n">
        <x:v>77.26599999999999</x:v>
      </x:c>
      <x:c r="O7" s="18" t="n">
        <x:v>47</x:v>
      </x:c>
      <x:c r="P7" s="18" t="n">
        <x:v>62</x:v>
      </x:c>
      <x:c r="Q7" s="18" t="n">
        <x:v>74</x:v>
      </x:c>
      <x:c r="R7" s="20" t="n">
        <x:v>0.5</x:v>
      </x:c>
      <x:c r="S7" s="20" t="n">
        <x:v>0.5</x:v>
      </x:c>
      <x:c r="T7" s="18" t="n">
        <x:v>45.576</x:v>
      </x:c>
      <x:c r="U7" s="18" t="n">
        <x:v>61.3545</x:v>
      </x:c>
      <x:c r="V7" s="18" t="n">
        <x:v>75.633</x:v>
      </x:c>
      <x:c r="W7" s="22" t="n">
        <x:v>-0.17419822431599918</x:v>
      </x:c>
      <x:c r="X7" s="22" t="n">
        <x:v>0.1116959594129372</x:v>
      </x:c>
      <x:c r="Y7" s="22" t="n">
        <x:v>0.3704113063960863</x:v>
      </x:c>
      <x:c r="Z7" s="16" t="n">
        <x:v>45.70030802681646</x:v>
      </x:c>
      <x:c r="AA7" s="16" t="n">
        <x:v>64.94507700670411</x:v>
      </x:c>
      <x:c r="AB7" t="str">
        <x:v>Standardized scenario proxy (reconstruction)</x:v>
      </x:c>
      <x:c r="AC7" t="str">
        <x:v>Normalized earnings / cash-flow valuation</x:v>
      </x:c>
      <x:c r="AD7" t="str">
        <x:v>Hybrid 50/50</x:v>
      </x:c>
      <x:c r="AE7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8">
      <x:c r="A8" t="str">
        <x:v>Healthcare</x:v>
      </x:c>
      <x:c r="B8" t="str">
        <x:v>BMY</x:v>
      </x:c>
      <x:c r="C8" t="str">
        <x:v>Bristol Myers Squibb</x:v>
      </x:c>
      <x:c r="D8" t="str">
        <x:v>B</x:v>
      </x:c>
      <x:c r="E8" s="16" t="n">
        <x:v>80</x:v>
      </x:c>
      <x:c r="F8" s="16" t="n">
        <x:v>85</x:v>
      </x:c>
      <x:c r="G8" s="16" t="n">
        <x:v>28.9</x:v>
      </x:c>
      <x:c r="H8" s="16" t="str">
        <x:v>Medium/Low</x:v>
      </x:c>
      <x:c r="I8" s="16" t="n">
        <x:v>2</x:v>
      </x:c>
      <x:c r="J8" s="16" t="n">
        <x:v>23.12</x:v>
      </x:c>
      <x:c r="K8" s="18" t="n">
        <x:v>66.58</x:v>
      </x:c>
      <x:c r="L8" s="18" t="n">
        <x:v>53.264</x:v>
      </x:c>
      <x:c r="M8" s="18" t="n">
        <x:v>73.238</x:v>
      </x:c>
      <x:c r="N8" s="18" t="n">
        <x:v>93.21199999999999</x:v>
      </x:c>
      <x:c r="O8" s="18" t="n">
        <x:v>48</x:v>
      </x:c>
      <x:c r="P8" s="18" t="n">
        <x:v>74</x:v>
      </x:c>
      <x:c r="Q8" s="18" t="n">
        <x:v>91</x:v>
      </x:c>
      <x:c r="R8" s="20" t="n">
        <x:v>0.5</x:v>
      </x:c>
      <x:c r="S8" s="20" t="n">
        <x:v>0.5</x:v>
      </x:c>
      <x:c r="T8" s="18" t="n">
        <x:v>50.632000000000005</x:v>
      </x:c>
      <x:c r="U8" s="18" t="n">
        <x:v>73.619</x:v>
      </x:c>
      <x:c r="V8" s="18" t="n">
        <x:v>92.106</x:v>
      </x:c>
      <x:c r="W8" s="22" t="n">
        <x:v>-0.23953139080805042</x:v>
      </x:c>
      <x:c r="X8" s="22" t="n">
        <x:v>0.10572243917092217</x:v>
      </x:c>
      <x:c r="Y8" s="22" t="n">
        <x:v>0.38338840492640425</x:v>
      </x:c>
      <x:c r="Z8" s="16" t="n">
        <x:v>42.82506544221774</x:v>
      </x:c>
      <x:c r="AA8" s="16" t="n">
        <x:v>63.67426636055444</x:v>
      </x:c>
      <x:c r="AB8" t="str">
        <x:v>Standardized scenario proxy (reconstruction)</x:v>
      </x:c>
      <x:c r="AC8" t="str">
        <x:v>Normalized earnings / cash-flow valuation</x:v>
      </x:c>
      <x:c r="AD8" t="str">
        <x:v>Hybrid 50/50</x:v>
      </x:c>
      <x:c r="AE8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9">
      <x:c r="A9" t="str">
        <x:v>Healthcare</x:v>
      </x:c>
      <x:c r="B9" t="str">
        <x:v>VRTX</x:v>
      </x:c>
      <x:c r="C9" t="str">
        <x:v>Vertex Pharmaceuticals</x:v>
      </x:c>
      <x:c r="D9" t="str">
        <x:v>B</x:v>
      </x:c>
      <x:c r="E9" s="16" t="n">
        <x:v>84</x:v>
      </x:c>
      <x:c r="F9" s="16" t="n">
        <x:v>60</x:v>
      </x:c>
      <x:c r="G9" s="16" t="n">
        <x:v>56.8</x:v>
      </x:c>
      <x:c r="H9" s="16" t="str">
        <x:v>High</x:v>
      </x:c>
      <x:c r="I9" s="16" t="n">
        <x:v>5</x:v>
      </x:c>
      <x:c r="J9" s="16" t="n">
        <x:v>56.8</x:v>
      </x:c>
      <x:c r="K9" s="18" t="n">
        <x:v>541.69</x:v>
      </x:c>
      <x:c r="L9" s="18" t="n">
        <x:v>433.3520000000001</x:v>
      </x:c>
      <x:c r="M9" s="18" t="n">
        <x:v>595.8590000000002</x:v>
      </x:c>
      <x:c r="N9" s="18" t="n">
        <x:v>758.366</x:v>
      </x:c>
      <x:c r="O9" s="18" t="n">
        <x:v>440</x:v>
      </x:c>
      <x:c r="P9" s="18" t="n">
        <x:v>560</x:v>
      </x:c>
      <x:c r="Q9" s="18" t="n">
        <x:v>760</x:v>
      </x:c>
      <x:c r="R9" s="20" t="n">
        <x:v>0.5</x:v>
      </x:c>
      <x:c r="S9" s="20" t="n">
        <x:v>0.5</x:v>
      </x:c>
      <x:c r="T9" s="18" t="n">
        <x:v>436.67600000000004</x:v>
      </x:c>
      <x:c r="U9" s="18" t="n">
        <x:v>577.9295000000001</x:v>
      </x:c>
      <x:c r="V9" s="18" t="n">
        <x:v>759.183</x:v>
      </x:c>
      <x:c r="W9" s="22" t="n">
        <x:v>-0.19386364895050678</x:v>
      </x:c>
      <x:c r="X9" s="22" t="n">
        <x:v>0.06690081042662777</x:v>
      </x:c>
      <x:c r="Y9" s="22" t="n">
        <x:v>0.4015082427218519</x:v>
      </x:c>
      <x:c r="Z9" s="16" t="n">
        <x:v>43.05764630798321</x:v>
      </x:c>
      <x:c r="AA9" s="16" t="n">
        <x:v>62.484411576995804</x:v>
      </x:c>
      <x:c r="AB9" t="str">
        <x:v>Standardized scenario proxy (reconstruction)</x:v>
      </x:c>
      <x:c r="AC9" t="str">
        <x:v>Normalized earnings / cash-flow valuation</x:v>
      </x:c>
      <x:c r="AD9" t="str">
        <x:v>Hybrid 50/50</x:v>
      </x:c>
      <x:c r="AE9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10">
      <x:c r="A10" t="str">
        <x:v>QQQ</x:v>
      </x:c>
      <x:c r="B10" t="str">
        <x:v>NVDA</x:v>
      </x:c>
      <x:c r="C10" t="str">
        <x:v>NVIDIA</x:v>
      </x:c>
      <x:c r="D10" t="str">
        <x:v>A</x:v>
      </x:c>
      <x:c r="E10" s="16" t="n">
        <x:v>92.99824999999998</x:v>
      </x:c>
      <x:c r="F10" s="16" t="n">
        <x:v>29.0277</x:v>
      </x:c>
      <x:c r="G10" s="16" t="n">
        <x:v>40.640527472527495</x:v>
      </x:c>
      <x:c r="H10" s="16" t="str">
        <x:v>High</x:v>
      </x:c>
      <x:c r="I10" s="16" t="n">
        <x:v>5</x:v>
      </x:c>
      <x:c r="J10" s="16" t="n">
        <x:v>40.640527472527495</x:v>
      </x:c>
      <x:c r="K10" s="18" t="n">
        <x:v>220.78</x:v>
      </x:c>
      <x:c r="L10" s="18" t="n">
        <x:v>327.51046280087536</x:v>
      </x:c>
      <x:c r="M10" s="18" t="n">
        <x:v>468.31206236323857</x:v>
      </x:c>
      <x:c r="N10" s="18" t="n">
        <x:v>643.5139154814004</x:v>
      </x:c>
      <x:c r="O10" s="18" t="n">
        <x:v>70.74593499008641</x:v>
      </x:c>
      <x:c r="P10" s="18" t="n">
        <x:v>126.83726377531596</x:v>
      </x:c>
      <x:c r="Q10" s="18" t="n">
        <x:v>214.95233077947327</x:v>
      </x:c>
      <x:c r="R10" s="20" t="n">
        <x:v>0.5</x:v>
      </x:c>
      <x:c r="S10" s="20" t="n">
        <x:v>0.5</x:v>
      </x:c>
      <x:c r="T10" s="18" t="n">
        <x:v>199.1281988954809</x:v>
      </x:c>
      <x:c r="U10" s="18" t="n">
        <x:v>297.5746630692773</x:v>
      </x:c>
      <x:c r="V10" s="18" t="n">
        <x:v>429.23312313043687</x:v>
      </x:c>
      <x:c r="W10" s="22" t="n">
        <x:v>-0.09806957652196358</x:v>
      </x:c>
      <x:c r="X10" s="22" t="n">
        <x:v>0.34783342272523443</x:v>
      </x:c>
      <x:c r="Y10" s="22" t="n">
        <x:v>0.9441666959436401</x:v>
      </x:c>
      <x:c r="Z10" s="16" t="n">
        <x:v>76.86839043862564</x:v>
      </x:c>
      <x:c r="AA10" s="16" t="n">
        <x:v>61.920961730535524</x:v>
      </x:c>
      <x:c r="AB10" t="str">
        <x:v>Forward EPS × own 20Q forward-P/E bands</x:v>
      </x:c>
      <x:c r="AC10" t="str">
        <x:v>5Y normalized-FCF DCF</x:v>
      </x:c>
      <x:c r="AD10" t="str">
        <x:v>Hybrid 50/50</x:v>
      </x:c>
      <x:c r="AE10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11">
      <x:c r="A11" t="str">
        <x:v>Healthcare</x:v>
      </x:c>
      <x:c r="B11" t="str">
        <x:v>AMGN</x:v>
      </x:c>
      <x:c r="C11" t="str">
        <x:v>Amgen</x:v>
      </x:c>
      <x:c r="D11" t="str">
        <x:v>B</x:v>
      </x:c>
      <x:c r="E11" s="16" t="n">
        <x:v>80</x:v>
      </x:c>
      <x:c r="F11" s="16" t="n">
        <x:v>55</x:v>
      </x:c>
      <x:c r="G11" s="16" t="n">
        <x:v>70.68</x:v>
      </x:c>
      <x:c r="H11" s="16" t="str">
        <x:v>Medium</x:v>
      </x:c>
      <x:c r="I11" s="16" t="n">
        <x:v>3</x:v>
      </x:c>
      <x:c r="J11" s="16" t="n">
        <x:v>63.61200000000001</x:v>
      </x:c>
      <x:c r="K11" s="18" t="n">
        <x:v>432.42</x:v>
      </x:c>
      <x:c r="L11" s="18" t="n">
        <x:v>345.93600000000004</x:v>
      </x:c>
      <x:c r="M11" s="18" t="n">
        <x:v>475.66200000000003</x:v>
      </x:c>
      <x:c r="N11" s="18" t="n">
        <x:v>605.388</x:v>
      </x:c>
      <x:c r="O11" s="18" t="n">
        <x:v>365</x:v>
      </x:c>
      <x:c r="P11" s="18" t="n">
        <x:v>460</x:v>
      </x:c>
      <x:c r="Q11" s="18" t="n">
        <x:v>575</x:v>
      </x:c>
      <x:c r="R11" s="20" t="n">
        <x:v>0.5</x:v>
      </x:c>
      <x:c r="S11" s="20" t="n">
        <x:v>0.5</x:v>
      </x:c>
      <x:c r="T11" s="18" t="n">
        <x:v>355.468</x:v>
      </x:c>
      <x:c r="U11" s="18" t="n">
        <x:v>467.831</x:v>
      </x:c>
      <x:c r="V11" s="18" t="n">
        <x:v>590.194</x:v>
      </x:c>
      <x:c r="W11" s="22" t="n">
        <x:v>-0.1779566162527173</x:v>
      </x:c>
      <x:c r="X11" s="22" t="n">
        <x:v>0.08189029184589058</x:v>
      </x:c>
      <x:c r="Y11" s="22" t="n">
        <x:v>0.3648628648073631</x:v>
      </x:c>
      <x:c r="Z11" s="16" t="n">
        <x:v>43.69398633603573</x:v>
      </x:c>
      <x:c r="AA11" s="16" t="n">
        <x:v>60.96529658400893</x:v>
      </x:c>
      <x:c r="AB11" t="str">
        <x:v>Standardized scenario proxy (reconstruction)</x:v>
      </x:c>
      <x:c r="AC11" t="str">
        <x:v>Normalized earnings / cash-flow valuation</x:v>
      </x:c>
      <x:c r="AD11" t="str">
        <x:v>Hybrid 50/50</x:v>
      </x:c>
      <x:c r="AE11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12">
      <x:c r="A12" t="str">
        <x:v>Healthcare</x:v>
      </x:c>
      <x:c r="B12" t="str">
        <x:v>TMO</x:v>
      </x:c>
      <x:c r="C12" t="str">
        <x:v>Thermo Fisher Scientific</x:v>
      </x:c>
      <x:c r="D12" t="str">
        <x:v>B</x:v>
      </x:c>
      <x:c r="E12" s="16" t="n">
        <x:v>83</x:v>
      </x:c>
      <x:c r="F12" s="16" t="n">
        <x:v>60</x:v>
      </x:c>
      <x:c r="G12" s="16" t="n">
        <x:v>52</x:v>
      </x:c>
      <x:c r="H12" s="16" t="str">
        <x:v>High</x:v>
      </x:c>
      <x:c r="I12" s="16" t="n">
        <x:v>5</x:v>
      </x:c>
      <x:c r="J12" s="16" t="n">
        <x:v>52</x:v>
      </x:c>
      <x:c r="K12" s="18" t="n">
        <x:v>622.18</x:v>
      </x:c>
      <x:c r="L12" s="18" t="n">
        <x:v>497.74399999999997</x:v>
      </x:c>
      <x:c r="M12" s="18" t="n">
        <x:v>684.398</x:v>
      </x:c>
      <x:c r="N12" s="18" t="n">
        <x:v>871.0519999999999</x:v>
      </x:c>
      <x:c r="O12" s="18" t="n">
        <x:v>489</x:v>
      </x:c>
      <x:c r="P12" s="18" t="n">
        <x:v>634</x:v>
      </x:c>
      <x:c r="Q12" s="18" t="n">
        <x:v>794</x:v>
      </x:c>
      <x:c r="R12" s="20" t="n">
        <x:v>0.5</x:v>
      </x:c>
      <x:c r="S12" s="20" t="n">
        <x:v>0.5</x:v>
      </x:c>
      <x:c r="T12" s="18" t="n">
        <x:v>493.37199999999996</x:v>
      </x:c>
      <x:c r="U12" s="18" t="n">
        <x:v>659.1990000000001</x:v>
      </x:c>
      <x:c r="V12" s="18" t="n">
        <x:v>832.526</x:v>
      </x:c>
      <x:c r="W12" s="22" t="n">
        <x:v>-0.20702690539715196</x:v>
      </x:c>
      <x:c r="X12" s="22" t="n">
        <x:v>0.05949885885113648</x:v>
      </x:c>
      <x:c r="Y12" s="22" t="n">
        <x:v>0.33807901250441996</x:v>
      </x:c>
      <x:c r="Z12" s="16" t="n">
        <x:v>40.473054421550046</x:v>
      </x:c>
      <x:c r="AA12" s="16" t="n">
        <x:v>60.81826360538751</x:v>
      </x:c>
      <x:c r="AB12" t="str">
        <x:v>Standardized scenario proxy (reconstruction)</x:v>
      </x:c>
      <x:c r="AC12" t="str">
        <x:v>50% EPS-multiple + 50% FCF-yield</x:v>
      </x:c>
      <x:c r="AD12" t="str">
        <x:v>Hybrid 50/50</x:v>
      </x:c>
      <x:c r="AE12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13">
      <x:c r="A13" t="str">
        <x:v>Healthcare</x:v>
      </x:c>
      <x:c r="B13" t="str">
        <x:v>ABT</x:v>
      </x:c>
      <x:c r="C13" t="str">
        <x:v>Abbott Laboratories</x:v>
      </x:c>
      <x:c r="D13" t="str">
        <x:v>B</x:v>
      </x:c>
      <x:c r="E13" s="16" t="n">
        <x:v>80</x:v>
      </x:c>
      <x:c r="F13" s="16" t="n">
        <x:v>50</x:v>
      </x:c>
      <x:c r="G13" s="16" t="n">
        <x:v>72</x:v>
      </x:c>
      <x:c r="H13" s="16" t="str">
        <x:v>High</x:v>
      </x:c>
      <x:c r="I13" s="16" t="n">
        <x:v>5</x:v>
      </x:c>
      <x:c r="J13" s="16" t="n">
        <x:v>72</x:v>
      </x:c>
      <x:c r="K13" s="18" t="n">
        <x:v>112.47</x:v>
      </x:c>
      <x:c r="L13" s="18" t="n">
        <x:v>89.976</x:v>
      </x:c>
      <x:c r="M13" s="18" t="n">
        <x:v>123.71700000000001</x:v>
      </x:c>
      <x:c r="N13" s="18" t="n">
        <x:v>157.458</x:v>
      </x:c>
      <x:c r="O13" s="18" t="n">
        <x:v>99</x:v>
      </x:c>
      <x:c r="P13" s="18" t="n">
        <x:v>110</x:v>
      </x:c>
      <x:c r="Q13" s="18" t="n">
        <x:v>155</x:v>
      </x:c>
      <x:c r="R13" s="20" t="n">
        <x:v>0.5</x:v>
      </x:c>
      <x:c r="S13" s="20" t="n">
        <x:v>0.5</x:v>
      </x:c>
      <x:c r="T13" s="18" t="n">
        <x:v>94.488</x:v>
      </x:c>
      <x:c r="U13" s="18" t="n">
        <x:v>116.8585</x:v>
      </x:c>
      <x:c r="V13" s="18" t="n">
        <x:v>156.22899999999998</x:v>
      </x:c>
      <x:c r="W13" s="22" t="n">
        <x:v>-0.1598826353694318</x:v>
      </x:c>
      <x:c r="X13" s="22" t="n">
        <x:v>0.03901929403396465</x:v>
      </x:c>
      <x:c r="Y13" s="22" t="n">
        <x:v>0.3890726415933137</x:v>
      </x:c>
      <x:c r="Z13" s="16" t="n">
        <x:v>42.64019611578961</x:v>
      </x:c>
      <x:c r="AA13" s="16" t="n">
        <x:v>60.460049028947395</x:v>
      </x:c>
      <x:c r="AB13" t="str">
        <x:v>Standardized scenario proxy (reconstruction)</x:v>
      </x:c>
      <x:c r="AC13" t="str">
        <x:v>Normalized earnings / cash-flow valuation</x:v>
      </x:c>
      <x:c r="AD13" t="str">
        <x:v>Hybrid 50/50</x:v>
      </x:c>
      <x:c r="AE13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14">
      <x:c r="A14" t="str">
        <x:v>QQQ</x:v>
      </x:c>
      <x:c r="B14" t="str">
        <x:v>MSFT</x:v>
      </x:c>
      <x:c r="C14" t="str">
        <x:v>Microsoft</x:v>
      </x:c>
      <x:c r="D14" t="str">
        <x:v>A</x:v>
      </x:c>
      <x:c r="E14" s="16" t="n">
        <x:v>89.08623</x:v>
      </x:c>
      <x:c r="F14" s="16" t="n">
        <x:v>45.94382227272727</x:v>
      </x:c>
      <x:c r="G14" s="16"/>
      <x:c r="H14" s="16" t="str">
        <x:v>N/A</x:v>
      </x:c>
      <x:c r="I14" s="16" t="n">
        <x:v>0</x:v>
      </x:c>
      <x:c r="J14" s="16"/>
      <x:c r="K14" s="18" t="n">
        <x:v>507.29</x:v>
      </x:c>
      <x:c r="L14" s="18" t="n">
        <x:v>475.00656220794406</x:v>
      </x:c>
      <x:c r="M14" s="18" t="n">
        <x:v>686.550245521807</x:v>
      </x:c>
      <x:c r="N14" s="18" t="n">
        <x:v>823.44496081581</x:v>
      </x:c>
      <x:c r="O14" s="18" t="n">
        <x:v>234.9177170088564</x:v>
      </x:c>
      <x:c r="P14" s="18" t="n">
        <x:v>423.89356813692353</x:v>
      </x:c>
      <x:c r="Q14" s="18" t="n">
        <x:v>722.3242971735724</x:v>
      </x:c>
      <x:c r="R14" s="20" t="n">
        <x:v>0.5</x:v>
      </x:c>
      <x:c r="S14" s="20" t="n">
        <x:v>0.5</x:v>
      </x:c>
      <x:c r="T14" s="18" t="n">
        <x:v>354.9621396084002</x:v>
      </x:c>
      <x:c r="U14" s="18" t="n">
        <x:v>555.2219068293653</x:v>
      </x:c>
      <x:c r="V14" s="18" t="n">
        <x:v>772.8846289946912</x:v>
      </x:c>
      <x:c r="W14" s="22" t="n">
        <x:v>-0.30027767232076286</x:v>
      </x:c>
      <x:c r="X14" s="22" t="n">
        <x:v>0.09448620479285075</x:v>
      </x:c>
      <x:c r="Y14" s="22" t="n">
        <x:v>0.5235558142180827</x:v>
      </x:c>
      <x:c r="Z14" s="16" t="n">
        <x:v>43.02953032243874</x:v>
      </x:c>
      <x:c r="AA14" s="16" t="n">
        <x:v>60.31340972050337</x:v>
      </x:c>
      <x:c r="AB14" t="str">
        <x:v>Forward EPS × own 20Q forward-P/E bands</x:v>
      </x:c>
      <x:c r="AC14" t="str">
        <x:v>5Y normalized-FCF DCF</x:v>
      </x:c>
      <x:c r="AD14" t="str">
        <x:v>Hybrid 50/50</x:v>
      </x:c>
      <x:c r="AE14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15">
      <x:c r="A15" t="str">
        <x:v>Healthcare</x:v>
      </x:c>
      <x:c r="B15" t="str">
        <x:v>ABBV</x:v>
      </x:c>
      <x:c r="C15" t="str">
        <x:v>AbbVie</x:v>
      </x:c>
      <x:c r="D15" t="str">
        <x:v>B</x:v>
      </x:c>
      <x:c r="E15" s="16" t="n">
        <x:v>87</x:v>
      </x:c>
      <x:c r="F15" s="16" t="n">
        <x:v>55</x:v>
      </x:c>
      <x:c r="G15" s="16" t="n">
        <x:v>57.8</x:v>
      </x:c>
      <x:c r="H15" s="16" t="str">
        <x:v>Medium/Low</x:v>
      </x:c>
      <x:c r="I15" s="16" t="n">
        <x:v>2</x:v>
      </x:c>
      <x:c r="J15" s="16" t="n">
        <x:v>46.24</x:v>
      </x:c>
      <x:c r="K15" s="18" t="n">
        <x:v>255.48</x:v>
      </x:c>
      <x:c r="L15" s="18" t="n">
        <x:v>204.38400000000001</x:v>
      </x:c>
      <x:c r="M15" s="18" t="n">
        <x:v>281.028</x:v>
      </x:c>
      <x:c r="N15" s="18" t="n">
        <x:v>357.67199999999997</x:v>
      </x:c>
      <x:c r="O15" s="18" t="n">
        <x:v>215</x:v>
      </x:c>
      <x:c r="P15" s="18" t="n">
        <x:v>255</x:v>
      </x:c>
      <x:c r="Q15" s="18" t="n">
        <x:v>350</x:v>
      </x:c>
      <x:c r="R15" s="20" t="n">
        <x:v>0.5</x:v>
      </x:c>
      <x:c r="S15" s="20" t="n">
        <x:v>0.5</x:v>
      </x:c>
      <x:c r="T15" s="18" t="n">
        <x:v>209.692</x:v>
      </x:c>
      <x:c r="U15" s="18" t="n">
        <x:v>268.014</x:v>
      </x:c>
      <x:c r="V15" s="18" t="n">
        <x:v>353.836</x:v>
      </x:c>
      <x:c r="W15" s="22" t="n">
        <x:v>-0.17922342257710966</x:v>
      </x:c>
      <x:c r="X15" s="22" t="n">
        <x:v>0.04906059182714895</x:v>
      </x:c>
      <x:c r="Y15" s="22" t="n">
        <x:v>0.3849851260372632</x:v>
      </x:c>
      <x:c r="Z15" s="16" t="n">
        <x:v>42.26563723187725</x:v>
      </x:c>
      <x:c r="AA15" s="16" t="n">
        <x:v>60.10240930796931</x:v>
      </x:c>
      <x:c r="AB15" t="str">
        <x:v>Standardized scenario proxy (reconstruction)</x:v>
      </x:c>
      <x:c r="AC15" t="str">
        <x:v>Normalized earnings / cash-flow valuation</x:v>
      </x:c>
      <x:c r="AD15" t="str">
        <x:v>Hybrid 50/50</x:v>
      </x:c>
      <x:c r="AE15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16">
      <x:c r="A16" t="str">
        <x:v>Healthcare</x:v>
      </x:c>
      <x:c r="B16" t="str">
        <x:v>GSK</x:v>
      </x:c>
      <x:c r="C16" t="str">
        <x:v>GSK</x:v>
      </x:c>
      <x:c r="D16" t="str">
        <x:v>B</x:v>
      </x:c>
      <x:c r="E16" s="16" t="n">
        <x:v>80</x:v>
      </x:c>
      <x:c r="F16" s="16" t="n">
        <x:v>70</x:v>
      </x:c>
      <x:c r="G16" s="16" t="n">
        <x:v>33</x:v>
      </x:c>
      <x:c r="H16" s="16" t="str">
        <x:v>Low</x:v>
      </x:c>
      <x:c r="I16" s="16" t="n">
        <x:v>1</x:v>
      </x:c>
      <x:c r="J16" s="16" t="n">
        <x:v>21.45</x:v>
      </x:c>
      <x:c r="K16" s="18" t="n">
        <x:v>50.82</x:v>
      </x:c>
      <x:c r="L16" s="18" t="n">
        <x:v>40.656000000000006</x:v>
      </x:c>
      <x:c r="M16" s="18" t="n">
        <x:v>55.90200000000001</x:v>
      </x:c>
      <x:c r="N16" s="18" t="n">
        <x:v>71.148</x:v>
      </x:c>
      <x:c r="O16" s="18" t="n">
        <x:v>42</x:v>
      </x:c>
      <x:c r="P16" s="18" t="n">
        <x:v>57</x:v>
      </x:c>
      <x:c r="Q16" s="18" t="n">
        <x:v>68</x:v>
      </x:c>
      <x:c r="R16" s="20" t="n">
        <x:v>0.5</x:v>
      </x:c>
      <x:c r="S16" s="20" t="n">
        <x:v>0.5</x:v>
      </x:c>
      <x:c r="T16" s="18" t="n">
        <x:v>41.328</x:v>
      </x:c>
      <x:c r="U16" s="18" t="n">
        <x:v>56.45100000000001</x:v>
      </x:c>
      <x:c r="V16" s="18" t="n">
        <x:v>69.574</x:v>
      </x:c>
      <x:c r="W16" s="22" t="n">
        <x:v>-0.18677685950413214</x:v>
      </x:c>
      <x:c r="X16" s="22" t="n">
        <x:v>0.11080283353010634</x:v>
      </x:c>
      <x:c r="Y16" s="22" t="n">
        <x:v>0.3690279417552145</x:v>
      </x:c>
      <x:c r="Z16" s="16" t="n">
        <x:v>45.064372856580654</x:v>
      </x:c>
      <x:c r="AA16" s="16" t="n">
        <x:v>59.483593214145166</x:v>
      </x:c>
      <x:c r="AB16" t="str">
        <x:v>Standardized scenario proxy (reconstruction)</x:v>
      </x:c>
      <x:c r="AC16" t="str">
        <x:v>Normalized earnings / cash-flow valuation</x:v>
      </x:c>
      <x:c r="AD16" t="str">
        <x:v>Hybrid 50/50</x:v>
      </x:c>
      <x:c r="AE16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17">
      <x:c r="A17" t="str">
        <x:v>Healthcare</x:v>
      </x:c>
      <x:c r="B17" t="str">
        <x:v>NVS</x:v>
      </x:c>
      <x:c r="C17" t="str">
        <x:v>Novartis</x:v>
      </x:c>
      <x:c r="D17" t="str">
        <x:v>B</x:v>
      </x:c>
      <x:c r="E17" s="16" t="n">
        <x:v>62</x:v>
      </x:c>
      <x:c r="F17" s="16" t="n">
        <x:v>65</x:v>
      </x:c>
      <x:c r="G17" s="16" t="n">
        <x:v>69.84</x:v>
      </x:c>
      <x:c r="H17" s="16" t="str">
        <x:v>High/Medium</x:v>
      </x:c>
      <x:c r="I17" s="16" t="n">
        <x:v>4</x:v>
      </x:c>
      <x:c r="J17" s="16" t="n">
        <x:v>66.348</x:v>
      </x:c>
      <x:c r="K17" s="18" t="n">
        <x:v>153.81</x:v>
      </x:c>
      <x:c r="L17" s="18" t="n">
        <x:v>123.048</x:v>
      </x:c>
      <x:c r="M17" s="18" t="n">
        <x:v>169.191</x:v>
      </x:c>
      <x:c r="N17" s="18" t="n">
        <x:v>215.334</x:v>
      </x:c>
      <x:c r="O17" s="18" t="n">
        <x:v>125</x:v>
      </x:c>
      <x:c r="P17" s="18" t="n">
        <x:v>160</x:v>
      </x:c>
      <x:c r="Q17" s="18" t="n">
        <x:v>205</x:v>
      </x:c>
      <x:c r="R17" s="20" t="n">
        <x:v>0.5</x:v>
      </x:c>
      <x:c r="S17" s="20" t="n">
        <x:v>0.5</x:v>
      </x:c>
      <x:c r="T17" s="18" t="n">
        <x:v>124.024</x:v>
      </x:c>
      <x:c r="U17" s="18" t="n">
        <x:v>164.59550000000002</x:v>
      </x:c>
      <x:c r="V17" s="18" t="n">
        <x:v>210.167</x:v>
      </x:c>
      <x:c r="W17" s="22" t="n">
        <x:v>-0.19365450880957025</x:v>
      </x:c>
      <x:c r="X17" s="22" t="n">
        <x:v>0.07012222872375018</x:v>
      </x:c>
      <x:c r="Y17" s="22" t="n">
        <x:v>0.36640660555230475</x:v>
      </x:c>
      <x:c r="Z17" s="16" t="n">
        <x:v>42.37333630546036</x:v>
      </x:c>
      <x:c r="AA17" s="16" t="n">
        <x:v>58.64553407636508</x:v>
      </x:c>
      <x:c r="AB17" t="str">
        <x:v>Standardized scenario proxy (reconstruction)</x:v>
      </x:c>
      <x:c r="AC17" t="str">
        <x:v>Normalized earnings / cash-flow valuation</x:v>
      </x:c>
      <x:c r="AD17" t="str">
        <x:v>Hybrid 50/50</x:v>
      </x:c>
      <x:c r="AE17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18">
      <x:c r="A18" t="str">
        <x:v>Healthcare</x:v>
      </x:c>
      <x:c r="B18" t="str">
        <x:v>PFE</x:v>
      </x:c>
      <x:c r="C18" t="str">
        <x:v>Pfizer</x:v>
      </x:c>
      <x:c r="D18" t="str">
        <x:v>B</x:v>
      </x:c>
      <x:c r="E18" s="16" t="n">
        <x:v>68</x:v>
      </x:c>
      <x:c r="F18" s="16" t="n">
        <x:v>80</x:v>
      </x:c>
      <x:c r="G18" s="16" t="n">
        <x:v>21</x:v>
      </x:c>
      <x:c r="H18" s="16" t="str">
        <x:v>Low</x:v>
      </x:c>
      <x:c r="I18" s="16" t="n">
        <x:v>1</x:v>
      </x:c>
      <x:c r="J18" s="16" t="n">
        <x:v>13.65</x:v>
      </x:c>
      <x:c r="K18" s="18" t="n">
        <x:v>27.96</x:v>
      </x:c>
      <x:c r="L18" s="18" t="n">
        <x:v>22.368000000000002</x:v>
      </x:c>
      <x:c r="M18" s="18" t="n">
        <x:v>30.756000000000004</x:v>
      </x:c>
      <x:c r="N18" s="18" t="n">
        <x:v>39.144</x:v>
      </x:c>
      <x:c r="O18" s="18" t="n">
        <x:v>21</x:v>
      </x:c>
      <x:c r="P18" s="18" t="n">
        <x:v>33</x:v>
      </x:c>
      <x:c r="Q18" s="18" t="n">
        <x:v>42</x:v>
      </x:c>
      <x:c r="R18" s="20" t="n">
        <x:v>0.5</x:v>
      </x:c>
      <x:c r="S18" s="20" t="n">
        <x:v>0.5</x:v>
      </x:c>
      <x:c r="T18" s="18" t="n">
        <x:v>21.684</x:v>
      </x:c>
      <x:c r="U18" s="18" t="n">
        <x:v>31.878</x:v>
      </x:c>
      <x:c r="V18" s="18" t="n">
        <x:v>40.572</x:v>
      </x:c>
      <x:c r="W18" s="22" t="n">
        <x:v>-0.22446351931330466</x:v>
      </x:c>
      <x:c r="X18" s="22" t="n">
        <x:v>0.14012875536480673</x:v>
      </x:c>
      <x:c r="Y18" s="22" t="n">
        <x:v>0.4510729613733906</x:v>
      </x:c>
      <x:c r="Z18" s="16" t="n">
        <x:v>47.14247394236664</x:v>
      </x:c>
      <x:c r="AA18" s="16" t="n">
        <x:v>58.23311848559166</x:v>
      </x:c>
      <x:c r="AB18" t="str">
        <x:v>Standardized scenario proxy (reconstruction)</x:v>
      </x:c>
      <x:c r="AC18" t="str">
        <x:v>Normalized earnings / cash-flow valuation</x:v>
      </x:c>
      <x:c r="AD18" t="str">
        <x:v>Hybrid 50/50</x:v>
      </x:c>
      <x:c r="AE18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19">
      <x:c r="A19" t="str">
        <x:v>Healthcare</x:v>
      </x:c>
      <x:c r="B19" t="str">
        <x:v>AZN</x:v>
      </x:c>
      <x:c r="C19" t="str">
        <x:v>AstraZeneca</x:v>
      </x:c>
      <x:c r="D19" t="str">
        <x:v>B</x:v>
      </x:c>
      <x:c r="E19" s="16" t="n">
        <x:v>82</x:v>
      </x:c>
      <x:c r="F19" s="16" t="n">
        <x:v>50</x:v>
      </x:c>
      <x:c r="G19" s="16" t="n">
        <x:v>75</x:v>
      </x:c>
      <x:c r="H19" s="16" t="str">
        <x:v>Low</x:v>
      </x:c>
      <x:c r="I19" s="16" t="n">
        <x:v>1</x:v>
      </x:c>
      <x:c r="J19" s="16" t="n">
        <x:v>48.75</x:v>
      </x:c>
      <x:c r="K19" s="18" t="n">
        <x:v>162.7</x:v>
      </x:c>
      <x:c r="L19" s="18" t="n">
        <x:v>130.16</x:v>
      </x:c>
      <x:c r="M19" s="18" t="n">
        <x:v>178.97</x:v>
      </x:c>
      <x:c r="N19" s="18" t="n">
        <x:v>227.77999999999997</x:v>
      </x:c>
      <x:c r="O19" s="18" t="n">
        <x:v>125</x:v>
      </x:c>
      <x:c r="P19" s="18" t="n">
        <x:v>160</x:v>
      </x:c>
      <x:c r="Q19" s="18" t="n">
        <x:v>225</x:v>
      </x:c>
      <x:c r="R19" s="20" t="n">
        <x:v>0.5</x:v>
      </x:c>
      <x:c r="S19" s="20" t="n">
        <x:v>0.5</x:v>
      </x:c>
      <x:c r="T19" s="18" t="n">
        <x:v>127.58</x:v>
      </x:c>
      <x:c r="U19" s="18" t="n">
        <x:v>169.485</x:v>
      </x:c>
      <x:c r="V19" s="18" t="n">
        <x:v>226.39</x:v>
      </x:c>
      <x:c r="W19" s="22" t="n">
        <x:v>-0.21585740626920713</x:v>
      </x:c>
      <x:c r="X19" s="22" t="n">
        <x:v>0.041702519975415075</x:v>
      </x:c>
      <x:c r="Y19" s="22" t="n">
        <x:v>0.3914566687154273</x:v>
      </x:c>
      <x:c r="Z19" s="16" t="n">
        <x:v>40.40422776363159</x:v>
      </x:c>
      <x:c r="AA19" s="16" t="n">
        <x:v>57.01355694090789</x:v>
      </x:c>
      <x:c r="AB19" t="str">
        <x:v>Standardized scenario proxy (reconstruction)</x:v>
      </x:c>
      <x:c r="AC19" t="str">
        <x:v>Normalized earnings / cash-flow valuation</x:v>
      </x:c>
      <x:c r="AD19" t="str">
        <x:v>Hybrid 50/50</x:v>
      </x:c>
      <x:c r="AE19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20">
      <x:c r="A20" t="str">
        <x:v>Healthcare</x:v>
      </x:c>
      <x:c r="B20" t="str">
        <x:v>MRK</x:v>
      </x:c>
      <x:c r="C20" t="str">
        <x:v>Merck</x:v>
      </x:c>
      <x:c r="D20" t="str">
        <x:v>B</x:v>
      </x:c>
      <x:c r="E20" s="16" t="n">
        <x:v>68</x:v>
      </x:c>
      <x:c r="F20" s="16" t="n">
        <x:v>60</x:v>
      </x:c>
      <x:c r="G20" s="16" t="n">
        <x:v>66.3</x:v>
      </x:c>
      <x:c r="H20" s="16" t="str">
        <x:v>Medium/Low</x:v>
      </x:c>
      <x:c r="I20" s="16" t="n">
        <x:v>2</x:v>
      </x:c>
      <x:c r="J20" s="16" t="n">
        <x:v>53.04</x:v>
      </x:c>
      <x:c r="K20" s="18" t="n">
        <x:v>148.35</x:v>
      </x:c>
      <x:c r="L20" s="18" t="n">
        <x:v>118.68</x:v>
      </x:c>
      <x:c r="M20" s="18" t="n">
        <x:v>163.185</x:v>
      </x:c>
      <x:c r="N20" s="18" t="n">
        <x:v>207.68999999999997</x:v>
      </x:c>
      <x:c r="O20" s="18" t="n">
        <x:v>115</x:v>
      </x:c>
      <x:c r="P20" s="18" t="n">
        <x:v>155</x:v>
      </x:c>
      <x:c r="Q20" s="18" t="n">
        <x:v>210</x:v>
      </x:c>
      <x:c r="R20" s="20" t="n">
        <x:v>0.35</x:v>
      </x:c>
      <x:c r="S20" s="20" t="n">
        <x:v>0.65</x:v>
      </x:c>
      <x:c r="T20" s="18" t="n">
        <x:v>116.288</x:v>
      </x:c>
      <x:c r="U20" s="18" t="n">
        <x:v>157.86475</x:v>
      </x:c>
      <x:c r="V20" s="18" t="n">
        <x:v>209.1915</x:v>
      </x:c>
      <x:c r="W20" s="22" t="n">
        <x:v>-0.2161240310077519</x:v>
      </x:c>
      <x:c r="X20" s="22" t="n">
        <x:v>0.06413717559824739</x:v>
      </x:c>
      <x:c r="Y20" s="22" t="n">
        <x:v>0.4101213346814965</x:v>
      </x:c>
      <x:c r="Z20" s="16" t="n">
        <x:v>42.14115990177668</x:v>
      </x:c>
      <x:c r="AA20" s="16" t="n">
        <x:v>56.89128997544417</x:v>
      </x:c>
      <x:c r="AB20" t="str">
        <x:v>Standardized scenario proxy (reconstruction)</x:v>
      </x:c>
      <x:c r="AC20" t="str">
        <x:v>Normalized earnings excluding acquired-IPR&amp;D effects</x:v>
      </x:c>
      <x:c r="AD20" t="str">
        <x:v>Hybrid 35/65</x:v>
      </x:c>
      <x:c r="AE20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21">
      <x:c r="A21" t="str">
        <x:v>Healthcare</x:v>
      </x:c>
      <x:c r="B21" t="str">
        <x:v>LLY</x:v>
      </x:c>
      <x:c r="C21" t="str">
        <x:v>Eli Lilly</x:v>
      </x:c>
      <x:c r="D21" t="str">
        <x:v>B</x:v>
      </x:c>
      <x:c r="E21" s="16" t="n">
        <x:v>92</x:v>
      </x:c>
      <x:c r="F21" s="16" t="n">
        <x:v>35</x:v>
      </x:c>
      <x:c r="G21" s="16" t="n">
        <x:v>63.24</x:v>
      </x:c>
      <x:c r="H21" s="16" t="str">
        <x:v>Medium</x:v>
      </x:c>
      <x:c r="I21" s="16" t="n">
        <x:v>3</x:v>
      </x:c>
      <x:c r="J21" s="16" t="n">
        <x:v>56.916000000000004</x:v>
      </x:c>
      <x:c r="K21" s="18" t="n">
        <x:v>1174.61</x:v>
      </x:c>
      <x:c r="L21" s="18" t="n">
        <x:v>939.688</x:v>
      </x:c>
      <x:c r="M21" s="18" t="n">
        <x:v>1292.071</x:v>
      </x:c>
      <x:c r="N21" s="18" t="n">
        <x:v>1644.4539999999997</x:v>
      </x:c>
      <x:c r="O21" s="18" t="n">
        <x:v>850</x:v>
      </x:c>
      <x:c r="P21" s="18" t="n">
        <x:v>1200</x:v>
      </x:c>
      <x:c r="Q21" s="18" t="n">
        <x:v>1600</x:v>
      </x:c>
      <x:c r="R21" s="20" t="n">
        <x:v>0.5</x:v>
      </x:c>
      <x:c r="S21" s="20" t="n">
        <x:v>0.5</x:v>
      </x:c>
      <x:c r="T21" s="18" t="n">
        <x:v>894.844</x:v>
      </x:c>
      <x:c r="U21" s="18" t="n">
        <x:v>1246.0355</x:v>
      </x:c>
      <x:c r="V21" s="18" t="n">
        <x:v>1622.2269999999999</x:v>
      </x:c>
      <x:c r="W21" s="22" t="n">
        <x:v>-0.23817777815615382</x:v>
      </x:c>
      <x:c r="X21" s="22" t="n">
        <x:v>0.06080784260307692</x:v>
      </x:c>
      <x:c r="Y21" s="22" t="n">
        <x:v>0.38107712347076905</x:v>
      </x:c>
      <x:c r="Z21" s="16" t="n">
        <x:v>40.25995558404189</x:v>
      </x:c>
      <x:c r="AA21" s="16" t="n">
        <x:v>56.70238889601046</x:v>
      </x:c>
      <x:c r="AB21" t="str">
        <x:v>Standardized scenario proxy (reconstruction)</x:v>
      </x:c>
      <x:c r="AC21" t="str">
        <x:v>Normalized earnings / cash-flow valuation</x:v>
      </x:c>
      <x:c r="AD21" t="str">
        <x:v>Hybrid 50/50</x:v>
      </x:c>
      <x:c r="AE21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22">
      <x:c r="A22" t="str">
        <x:v>Healthcare</x:v>
      </x:c>
      <x:c r="B22" t="str">
        <x:v>JNJ</x:v>
      </x:c>
      <x:c r="C22" t="str">
        <x:v>Johnson &amp; Johnson</x:v>
      </x:c>
      <x:c r="D22" t="str">
        <x:v>B</x:v>
      </x:c>
      <x:c r="E22" s="16" t="n">
        <x:v>82</x:v>
      </x:c>
      <x:c r="F22" s="16" t="n">
        <x:v>55</x:v>
      </x:c>
      <x:c r="G22" s="16" t="n">
        <x:v>49.3</x:v>
      </x:c>
      <x:c r="H22" s="16" t="str">
        <x:v>Medium/Low</x:v>
      </x:c>
      <x:c r="I22" s="16" t="n">
        <x:v>2</x:v>
      </x:c>
      <x:c r="J22" s="16" t="n">
        <x:v>39.44</x:v>
      </x:c>
      <x:c r="K22" s="18" t="n">
        <x:v>268.04</x:v>
      </x:c>
      <x:c r="L22" s="18" t="n">
        <x:v>214.43200000000002</x:v>
      </x:c>
      <x:c r="M22" s="18" t="n">
        <x:v>294.84400000000005</x:v>
      </x:c>
      <x:c r="N22" s="18" t="n">
        <x:v>375.25600000000003</x:v>
      </x:c>
      <x:c r="O22" s="18" t="n">
        <x:v>215</x:v>
      </x:c>
      <x:c r="P22" s="18" t="n">
        <x:v>260</x:v>
      </x:c>
      <x:c r="Q22" s="18" t="n">
        <x:v>325</x:v>
      </x:c>
      <x:c r="R22" s="20" t="n">
        <x:v>0.5</x:v>
      </x:c>
      <x:c r="S22" s="20" t="n">
        <x:v>0.5</x:v>
      </x:c>
      <x:c r="T22" s="18" t="n">
        <x:v>214.716</x:v>
      </x:c>
      <x:c r="U22" s="18" t="n">
        <x:v>277.422</x:v>
      </x:c>
      <x:c r="V22" s="18" t="n">
        <x:v>350.12800000000004</x:v>
      </x:c>
      <x:c r="W22" s="22" t="n">
        <x:v>-0.19894045664826143</x:v>
      </x:c>
      <x:c r="X22" s="22" t="n">
        <x:v>0.035002238471869784</x:v>
      </x:c>
      <x:c r="Y22" s="22" t="n">
        <x:v>0.3062527980898373</x:v>
      </x:c>
      <x:c r="Z22" s="16" t="n">
        <x:v>38.631374315134195</x:v>
      </x:c>
      <x:c r="AA22" s="16" t="n">
        <x:v>56.67384357878354</x:v>
      </x:c>
      <x:c r="AB22" t="str">
        <x:v>Standardized scenario proxy (reconstruction)</x:v>
      </x:c>
      <x:c r="AC22" t="str">
        <x:v>Normalized earnings / cash-flow valuation</x:v>
      </x:c>
      <x:c r="AD22" t="str">
        <x:v>Hybrid 50/50</x:v>
      </x:c>
      <x:c r="AE22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23">
      <x:c r="A23" t="str">
        <x:v>Healthcare</x:v>
      </x:c>
      <x:c r="B23" t="str">
        <x:v>NVO</x:v>
      </x:c>
      <x:c r="C23" t="str">
        <x:v>Novo Nordisk</x:v>
      </x:c>
      <x:c r="D23" t="str">
        <x:v>B</x:v>
      </x:c>
      <x:c r="E23" s="16" t="n">
        <x:v>72</x:v>
      </x:c>
      <x:c r="F23" s="16" t="n">
        <x:v>75</x:v>
      </x:c>
      <x:c r="G23" s="16" t="n">
        <x:v>9</x:v>
      </x:c>
      <x:c r="H23" s="16" t="str">
        <x:v>Low</x:v>
      </x:c>
      <x:c r="I23" s="16" t="n">
        <x:v>1</x:v>
      </x:c>
      <x:c r="J23" s="16" t="n">
        <x:v>5.8500000000000005</x:v>
      </x:c>
      <x:c r="K23" s="18" t="n">
        <x:v>45.61</x:v>
      </x:c>
      <x:c r="L23" s="18" t="n">
        <x:v>36.488</x:v>
      </x:c>
      <x:c r="M23" s="18" t="n">
        <x:v>50.17100000000001</x:v>
      </x:c>
      <x:c r="N23" s="18" t="n">
        <x:v>63.85399999999999</x:v>
      </x:c>
      <x:c r="O23" s="18" t="n">
        <x:v>32</x:v>
      </x:c>
      <x:c r="P23" s="18" t="n">
        <x:v>52</x:v>
      </x:c>
      <x:c r="Q23" s="18" t="n">
        <x:v>70</x:v>
      </x:c>
      <x:c r="R23" s="20" t="n">
        <x:v>0.5</x:v>
      </x:c>
      <x:c r="S23" s="20" t="n">
        <x:v>0.5</x:v>
      </x:c>
      <x:c r="T23" s="18" t="n">
        <x:v>34.244</x:v>
      </x:c>
      <x:c r="U23" s="18" t="n">
        <x:v>51.0855</x:v>
      </x:c>
      <x:c r="V23" s="18" t="n">
        <x:v>66.92699999999999</x:v>
      </x:c>
      <x:c r="W23" s="22" t="n">
        <x:v>-0.24919973689980268</x:v>
      </x:c>
      <x:c r="X23" s="22" t="n">
        <x:v>0.12005042753782069</x:v>
      </x:c>
      <x:c r="Y23" s="22" t="n">
        <x:v>0.4673755755316815</x:v>
      </x:c>
      <x:c r="Z23" s="16" t="n">
        <x:v>45.320496758229716</x:v>
      </x:c>
      <x:c r="AA23" s="16" t="n">
        <x:v>56.30762418955742</x:v>
      </x:c>
      <x:c r="AB23" t="str">
        <x:v>Standardized scenario proxy (reconstruction)</x:v>
      </x:c>
      <x:c r="AC23" t="str">
        <x:v>Normalized earnings / cash-flow valuation</x:v>
      </x:c>
      <x:c r="AD23" t="str">
        <x:v>Hybrid 50/50</x:v>
      </x:c>
      <x:c r="AE23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24">
      <x:c r="A24" t="str">
        <x:v>Healthcare</x:v>
      </x:c>
      <x:c r="B24" t="str">
        <x:v>A</x:v>
      </x:c>
      <x:c r="C24" t="str">
        <x:v>Agilent Technologies</x:v>
      </x:c>
      <x:c r="D24" t="str">
        <x:v>B</x:v>
      </x:c>
      <x:c r="E24" s="16" t="n">
        <x:v>85</x:v>
      </x:c>
      <x:c r="F24" s="16" t="n">
        <x:v>45</x:v>
      </x:c>
      <x:c r="G24" s="16" t="n">
        <x:v>75</x:v>
      </x:c>
      <x:c r="H24" s="16" t="str">
        <x:v>Low</x:v>
      </x:c>
      <x:c r="I24" s="16" t="n">
        <x:v>1</x:v>
      </x:c>
      <x:c r="J24" s="16" t="n">
        <x:v>48.75</x:v>
      </x:c>
      <x:c r="K24" s="18" t="n">
        <x:v>153.84</x:v>
      </x:c>
      <x:c r="L24" s="18" t="n">
        <x:v>123.072</x:v>
      </x:c>
      <x:c r="M24" s="18" t="n">
        <x:v>169.22400000000002</x:v>
      </x:c>
      <x:c r="N24" s="18" t="n">
        <x:v>215.376</x:v>
      </x:c>
      <x:c r="O24" s="18" t="n">
        <x:v>116</x:v>
      </x:c>
      <x:c r="P24" s="18" t="n">
        <x:v>145</x:v>
      </x:c>
      <x:c r="Q24" s="18" t="n">
        <x:v>202</x:v>
      </x:c>
      <x:c r="R24" s="20" t="n">
        <x:v>0.5</x:v>
      </x:c>
      <x:c r="S24" s="20" t="n">
        <x:v>0.5</x:v>
      </x:c>
      <x:c r="T24" s="18" t="n">
        <x:v>119.536</x:v>
      </x:c>
      <x:c r="U24" s="18" t="n">
        <x:v>157.11200000000002</x:v>
      </x:c>
      <x:c r="V24" s="18" t="n">
        <x:v>208.688</x:v>
      </x:c>
      <x:c r="W24" s="22" t="n">
        <x:v>-0.2229849193967759</x:v>
      </x:c>
      <x:c r="X24" s="22" t="n">
        <x:v>0.0212688507540304</x:v>
      </x:c>
      <x:c r="Y24" s="22" t="n">
        <x:v>0.35652626105044183</x:v>
      </x:c>
      <x:c r="Z24" s="16" t="n">
        <x:v>38.05150063145384</x:v>
      </x:c>
      <x:c r="AA24" s="16" t="n">
        <x:v>55.82537515786346</x:v>
      </x:c>
      <x:c r="AB24" t="str">
        <x:v>Standardized scenario proxy (reconstruction)</x:v>
      </x:c>
      <x:c r="AC24" t="str">
        <x:v>Normalized earnings / cash-flow valuation</x:v>
      </x:c>
      <x:c r="AD24" t="str">
        <x:v>Hybrid 50/50</x:v>
      </x:c>
      <x:c r="AE24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25">
      <x:c r="A25" t="str">
        <x:v>Healthcare</x:v>
      </x:c>
      <x:c r="B25" t="str">
        <x:v>GILD</x:v>
      </x:c>
      <x:c r="C25" t="str">
        <x:v>Gilead Sciences</x:v>
      </x:c>
      <x:c r="D25" t="str">
        <x:v>B</x:v>
      </x:c>
      <x:c r="E25" s="16" t="n">
        <x:v>72</x:v>
      </x:c>
      <x:c r="F25" s="16" t="n">
        <x:v>60</x:v>
      </x:c>
      <x:c r="G25" s="16" t="n">
        <x:v>42</x:v>
      </x:c>
      <x:c r="H25" s="16" t="str">
        <x:v>Low</x:v>
      </x:c>
      <x:c r="I25" s="16" t="n">
        <x:v>1</x:v>
      </x:c>
      <x:c r="J25" s="16" t="n">
        <x:v>27.3</x:v>
      </x:c>
      <x:c r="K25" s="18" t="n">
        <x:v>145.68</x:v>
      </x:c>
      <x:c r="L25" s="18" t="n">
        <x:v>116.54400000000001</x:v>
      </x:c>
      <x:c r="M25" s="18" t="n">
        <x:v>160.24800000000002</x:v>
      </x:c>
      <x:c r="N25" s="18" t="n">
        <x:v>203.952</x:v>
      </x:c>
      <x:c r="O25" s="18" t="n">
        <x:v>115</x:v>
      </x:c>
      <x:c r="P25" s="18" t="n">
        <x:v>155</x:v>
      </x:c>
      <x:c r="Q25" s="18" t="n">
        <x:v>205</x:v>
      </x:c>
      <x:c r="R25" s="20" t="n">
        <x:v>0.35</x:v>
      </x:c>
      <x:c r="S25" s="20" t="n">
        <x:v>0.65</x:v>
      </x:c>
      <x:c r="T25" s="18" t="n">
        <x:v>115.5404</x:v>
      </x:c>
      <x:c r="U25" s="18" t="n">
        <x:v>156.8368</x:v>
      </x:c>
      <x:c r="V25" s="18" t="n">
        <x:v>204.6332</x:v>
      </x:c>
      <x:c r="W25" s="22" t="n">
        <x:v>-0.20688907193849537</x:v>
      </x:c>
      <x:c r="X25" s="22" t="n">
        <x:v>0.07658429434376712</x:v>
      </x:c>
      <x:c r="Y25" s="22" t="n">
        <x:v>0.40467600219659516</x:v>
      </x:c>
      <x:c r="Z25" s="16" t="n">
        <x:v>43.12031997724954</x:v>
      </x:c>
      <x:c r="AA25" s="16" t="n">
        <x:v>54.47507999431238</x:v>
      </x:c>
      <x:c r="AB25" t="str">
        <x:v>Standardized scenario proxy (reconstruction)</x:v>
      </x:c>
      <x:c r="AC25" t="str">
        <x:v>Normalized earnings excluding acquired-IPR&amp;D effects</x:v>
      </x:c>
      <x:c r="AD25" t="str">
        <x:v>Hybrid 35/65</x:v>
      </x:c>
      <x:c r="AE25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26">
      <x:c r="A26" t="str">
        <x:v>QQQ</x:v>
      </x:c>
      <x:c r="B26" t="str">
        <x:v>NFLX</x:v>
      </x:c>
      <x:c r="C26" t="str">
        <x:v>Netflix</x:v>
      </x:c>
      <x:c r="D26" t="str">
        <x:v>A</x:v>
      </x:c>
      <x:c r="E26" s="16" t="n">
        <x:v>76.45105499999998</x:v>
      </x:c>
      <x:c r="F26" s="16" t="n">
        <x:v>54.60886972027972</x:v>
      </x:c>
      <x:c r="G26" s="16" t="n">
        <x:v>39.31034482758617</x:v>
      </x:c>
      <x:c r="H26" s="16" t="str">
        <x:v>Low</x:v>
      </x:c>
      <x:c r="I26" s="16" t="n">
        <x:v>1</x:v>
      </x:c>
      <x:c r="J26" s="16" t="n">
        <x:v>25.55172413793101</x:v>
      </x:c>
      <x:c r="K26" s="18" t="n">
        <x:v>81.05</x:v>
      </x:c>
      <x:c r="L26" s="18" t="n">
        <x:v>94.95480493800768</x:v>
      </x:c>
      <x:c r="M26" s="18" t="n">
        <x:v>128.6248599828987</x:v>
      </x:c>
      <x:c r="N26" s="18" t="n">
        <x:v>164.28088258871313</x:v>
      </x:c>
      <x:c r="O26" s="18" t="n">
        <x:v>24.23764676278117</x:v>
      </x:c>
      <x:c r="P26" s="18" t="n">
        <x:v>43.86334143367625</x:v>
      </x:c>
      <x:c r="Q26" s="18" t="n">
        <x:v>74.92895708347606</x:v>
      </x:c>
      <x:c r="R26" s="20" t="n">
        <x:v>0.5</x:v>
      </x:c>
      <x:c r="S26" s="20" t="n">
        <x:v>0.5</x:v>
      </x:c>
      <x:c r="T26" s="18" t="n">
        <x:v>59.596225850394426</x:v>
      </x:c>
      <x:c r="U26" s="18" t="n">
        <x:v>86.24410070828748</x:v>
      </x:c>
      <x:c r="V26" s="18" t="n">
        <x:v>119.6049198360946</x:v>
      </x:c>
      <x:c r="W26" s="22" t="n">
        <x:v>-0.2646980154177122</x:v>
      </x:c>
      <x:c r="X26" s="22" t="n">
        <x:v>0.06408514137307186</x:v>
      </x:c>
      <x:c r="Y26" s="22" t="n">
        <x:v>0.47569302697217264</x:v>
      </x:c>
      <x:c r="Z26" s="16" t="n">
        <x:v>41.652367006812085</x:v>
      </x:c>
      <x:c r="AA26" s="16" t="n">
        <x:v>53.56382778847658</x:v>
      </x:c>
      <x:c r="AB26" t="str">
        <x:v>Forward EPS × own 20Q forward-P/E bands</x:v>
      </x:c>
      <x:c r="AC26" t="str">
        <x:v>5Y normalized-FCF DCF</x:v>
      </x:c>
      <x:c r="AD26" t="str">
        <x:v>Hybrid 50/50</x:v>
      </x:c>
      <x:c r="AE26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27">
      <x:c r="A27" t="str">
        <x:v>QQQ</x:v>
      </x:c>
      <x:c r="B27" t="str">
        <x:v>AMZN</x:v>
      </x:c>
      <x:c r="C27" t="str">
        <x:v>Amazon</x:v>
      </x:c>
      <x:c r="D27" t="str">
        <x:v>A</x:v>
      </x:c>
      <x:c r="E27" s="16" t="n">
        <x:v>55.3926</x:v>
      </x:c>
      <x:c r="F27" s="16" t="n">
        <x:v>70.45147968531468</x:v>
      </x:c>
      <x:c r="G27" s="16" t="n">
        <x:v>50.24414787184829</x:v>
      </x:c>
      <x:c r="H27" s="16" t="str">
        <x:v>Medium/Low</x:v>
      </x:c>
      <x:c r="I27" s="16" t="n">
        <x:v>2</x:v>
      </x:c>
      <x:c r="J27" s="16" t="n">
        <x:v>40.195318297478636</x:v>
      </x:c>
      <x:c r="K27" s="18" t="n">
        <x:v>259.77</x:v>
      </x:c>
      <x:c r="L27" s="18" t="n">
        <x:v>283.63550053475933</x:v>
      </x:c>
      <x:c r="M27" s="18" t="n">
        <x:v>453.27318235294126</x:v>
      </x:c>
      <x:c r="N27" s="18" t="n">
        <x:v>748.8067045454544</x:v>
      </x:c>
      <x:c r="O27" s="18" t="n">
        <x:v>40.33773920954147</x:v>
      </x:c>
      <x:c r="P27" s="18" t="n">
        <x:v>72.81505314806726</x:v>
      </x:c>
      <x:c r="Q27" s="18" t="n">
        <x:v>124.11927420167842</x:v>
      </x:c>
      <x:c r="R27" s="20" t="n">
        <x:v>0.5</x:v>
      </x:c>
      <x:c r="S27" s="20" t="n">
        <x:v>0.5</x:v>
      </x:c>
      <x:c r="T27" s="18" t="n">
        <x:v>161.9866198721504</x:v>
      </x:c>
      <x:c r="U27" s="18" t="n">
        <x:v>263.04411775050426</x:v>
      </x:c>
      <x:c r="V27" s="18" t="n">
        <x:v>436.4629893735664</x:v>
      </x:c>
      <x:c r="W27" s="22" t="n">
        <x:v>-0.3764229130686745</x:v>
      </x:c>
      <x:c r="X27" s="22" t="n">
        <x:v>0.012603910191724577</x:v>
      </x:c>
      <x:c r="Y27" s="22" t="n">
        <x:v>0.6801901273186528</x:v>
      </x:c>
      <x:c r="Z27" s="16" t="n">
        <x:v>38.93504560431036</x:v>
      </x:c>
      <x:c r="AA27" s="16" t="n">
        <x:v>53.51628305129378</x:v>
      </x:c>
      <x:c r="AB27" t="str">
        <x:v>Forward EPS × own 20Q forward-P/E bands</x:v>
      </x:c>
      <x:c r="AC27" t="str">
        <x:v>5Y normalized-FCF DCF</x:v>
      </x:c>
      <x:c r="AD27" t="str">
        <x:v>Hybrid 50/50</x:v>
      </x:c>
      <x:c r="AE27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28">
      <x:c r="A28" t="str">
        <x:v>Healthcare</x:v>
      </x:c>
      <x:c r="B28" t="str">
        <x:v>DHR</x:v>
      </x:c>
      <x:c r="C28" t="str">
        <x:v>Danaher</x:v>
      </x:c>
      <x:c r="D28" t="str">
        <x:v>B</x:v>
      </x:c>
      <x:c r="E28" s="16" t="n">
        <x:v>65</x:v>
      </x:c>
      <x:c r="F28" s="16" t="n">
        <x:v>60</x:v>
      </x:c>
      <x:c r="G28" s="16" t="n">
        <x:v>54</x:v>
      </x:c>
      <x:c r="H28" s="16" t="str">
        <x:v>Low</x:v>
      </x:c>
      <x:c r="I28" s="16" t="n">
        <x:v>1</x:v>
      </x:c>
      <x:c r="J28" s="16" t="n">
        <x:v>35.1</x:v>
      </x:c>
      <x:c r="K28" s="18" t="n">
        <x:v>216.07</x:v>
      </x:c>
      <x:c r="L28" s="18" t="n">
        <x:v>172.856</x:v>
      </x:c>
      <x:c r="M28" s="18" t="n">
        <x:v>237.67700000000002</x:v>
      </x:c>
      <x:c r="N28" s="18" t="n">
        <x:v>302.498</x:v>
      </x:c>
      <x:c r="O28" s="18" t="n">
        <x:v>164</x:v>
      </x:c>
      <x:c r="P28" s="18" t="n">
        <x:v>216</x:v>
      </x:c>
      <x:c r="Q28" s="18" t="n">
        <x:v>267</x:v>
      </x:c>
      <x:c r="R28" s="20" t="n">
        <x:v>0.5</x:v>
      </x:c>
      <x:c r="S28" s="20" t="n">
        <x:v>0.5</x:v>
      </x:c>
      <x:c r="T28" s="18" t="n">
        <x:v>168.428</x:v>
      </x:c>
      <x:c r="U28" s="18" t="n">
        <x:v>226.8385</x:v>
      </x:c>
      <x:c r="V28" s="18" t="n">
        <x:v>284.749</x:v>
      </x:c>
      <x:c r="W28" s="22" t="n">
        <x:v>-0.22049335863377606</x:v>
      </x:c>
      <x:c r="X28" s="22" t="n">
        <x:v>0.04983801545795363</x:v>
      </x:c>
      <x:c r="Y28" s="22" t="n">
        <x:v>0.3178553246633038</x:v>
      </x:c>
      <x:c r="Z28" s="16" t="n">
        <x:v>38.82625670252367</x:v>
      </x:c>
      <x:c r="AA28" s="16" t="n">
        <x:v>52.47156417563092</x:v>
      </x:c>
      <x:c r="AB28" t="str">
        <x:v>Standardized scenario proxy (reconstruction)</x:v>
      </x:c>
      <x:c r="AC28" t="str">
        <x:v>50% EPS-multiple + 50% FCF-yield</x:v>
      </x:c>
      <x:c r="AD28" t="str">
        <x:v>Hybrid 50/50</x:v>
      </x:c>
      <x:c r="AE28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29">
      <x:c r="A29" t="str">
        <x:v>QQQ</x:v>
      </x:c>
      <x:c r="B29" t="str">
        <x:v>MU</x:v>
      </x:c>
      <x:c r="C29" t="str">
        <x:v>Micron Technology</x:v>
      </x:c>
      <x:c r="D29" t="str">
        <x:v>A</x:v>
      </x:c>
      <x:c r="E29" s="16" t="n">
        <x:v>88.464505</x:v>
      </x:c>
      <x:c r="F29" s="16" t="n">
        <x:v>50.61867867132867</x:v>
      </x:c>
      <x:c r="G29" s="16" t="n">
        <x:v>2.1120000000000125</x:v>
      </x:c>
      <x:c r="H29" s="16" t="str">
        <x:v>Medium</x:v>
      </x:c>
      <x:c r="I29" s="16" t="n">
        <x:v>3</x:v>
      </x:c>
      <x:c r="J29" s="16" t="n">
        <x:v>1.9008000000000114</x:v>
      </x:c>
      <x:c r="K29" s="18" t="n">
        <x:v>958.73</x:v>
      </x:c>
      <x:c r="L29" s="18" t="n">
        <x:v>1230.8972046476765</x:v>
      </x:c>
      <x:c r="M29" s="18" t="n">
        <x:v>1740.806451274363</x:v>
      </x:c>
      <x:c r="N29" s="18" t="n">
        <x:v>2225.238202773613</x:v>
      </x:c>
      <x:c r="O29" s="18" t="n">
        <x:v>147.71566315773268</x:v>
      </x:c>
      <x:c r="P29" s="18" t="n">
        <x:v>264.8328915902873</x:v>
      </x:c>
      <x:c r="Q29" s="18" t="n">
        <x:v>448.81484841269787</x:v>
      </x:c>
      <x:c r="R29" s="20" t="n">
        <x:v>0.5</x:v>
      </x:c>
      <x:c r="S29" s="20" t="n">
        <x:v>0.5</x:v>
      </x:c>
      <x:c r="T29" s="18" t="n">
        <x:v>689.3064339027046</x:v>
      </x:c>
      <x:c r="U29" s="18" t="n">
        <x:v>1002.8196714323252</x:v>
      </x:c>
      <x:c r="V29" s="18" t="n">
        <x:v>1337.0265255931554</x:v>
      </x:c>
      <x:c r="W29" s="22" t="n">
        <x:v>-0.2810213158003769</x:v>
      </x:c>
      <x:c r="X29" s="22" t="n">
        <x:v>0.04598757880980586</x:v>
      </x:c>
      <x:c r="Y29" s="22" t="n">
        <x:v>0.39458087844664846</x:v>
      </x:c>
      <x:c r="Z29" s="16" t="n">
        <x:v>37.87627246974577</x:v>
      </x:c>
      <x:c r="AA29" s="16" t="n">
        <x:v>51.47914321883504</x:v>
      </x:c>
      <x:c r="AB29" t="str">
        <x:v>Forward EPS × own 20Q forward-P/E bands</x:v>
      </x:c>
      <x:c r="AC29" t="str">
        <x:v>5Y normalized-FCF DCF</x:v>
      </x:c>
      <x:c r="AD29" t="str">
        <x:v>Hybrid 50/50</x:v>
      </x:c>
      <x:c r="AE29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30">
      <x:c r="A30" t="str">
        <x:v>Healthcare</x:v>
      </x:c>
      <x:c r="B30" t="str">
        <x:v>ILMN</x:v>
      </x:c>
      <x:c r="C30" t="str">
        <x:v>Illumina</x:v>
      </x:c>
      <x:c r="D30" t="str">
        <x:v>B</x:v>
      </x:c>
      <x:c r="E30" s="16" t="n">
        <x:v>84</x:v>
      </x:c>
      <x:c r="F30" s="16" t="n">
        <x:v>35</x:v>
      </x:c>
      <x:c r="G30" s="16" t="n">
        <x:v>75</x:v>
      </x:c>
      <x:c r="H30" s="16" t="str">
        <x:v>Low</x:v>
      </x:c>
      <x:c r="I30" s="16" t="n">
        <x:v>1</x:v>
      </x:c>
      <x:c r="J30" s="16" t="n">
        <x:v>48.75</x:v>
      </x:c>
      <x:c r="K30" s="18" t="n">
        <x:v>215.59</x:v>
      </x:c>
      <x:c r="L30" s="18" t="n">
        <x:v>172.472</x:v>
      </x:c>
      <x:c r="M30" s="18" t="n">
        <x:v>237.14900000000003</x:v>
      </x:c>
      <x:c r="N30" s="18" t="n">
        <x:v>301.82599999999996</x:v>
      </x:c>
      <x:c r="O30" s="18" t="n">
        <x:v>130</x:v>
      </x:c>
      <x:c r="P30" s="18" t="n">
        <x:v>180</x:v>
      </x:c>
      <x:c r="Q30" s="18" t="n">
        <x:v>280</x:v>
      </x:c>
      <x:c r="R30" s="20" t="n">
        <x:v>0.5</x:v>
      </x:c>
      <x:c r="S30" s="20" t="n">
        <x:v>0.5</x:v>
      </x:c>
      <x:c r="T30" s="18" t="n">
        <x:v>151.236</x:v>
      </x:c>
      <x:c r="U30" s="18" t="n">
        <x:v>208.5745</x:v>
      </x:c>
      <x:c r="V30" s="18" t="n">
        <x:v>290.913</x:v>
      </x:c>
      <x:c r="W30" s="22" t="n">
        <x:v>-0.29850178579711495</x:v>
      </x:c>
      <x:c r="X30" s="22" t="n">
        <x:v>-0.03254093418062065</x:v>
      </x:c>
      <x:c r="Y30" s="22" t="n">
        <x:v>0.34938076905236803</x:v>
      </x:c>
      <x:c r="Z30" s="16" t="n">
        <x:v>31.49415557307853</x:v>
      </x:c>
      <x:c r="AA30" s="16" t="n">
        <x:v>50.886038893269635</x:v>
      </x:c>
      <x:c r="AB30" t="str">
        <x:v>Standardized scenario proxy (reconstruction)</x:v>
      </x:c>
      <x:c r="AC30" t="str">
        <x:v>Normalized earnings / cash-flow valuation</x:v>
      </x:c>
      <x:c r="AD30" t="str">
        <x:v>Hybrid 50/50</x:v>
      </x:c>
      <x:c r="AE30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31">
      <x:c r="A31" t="str">
        <x:v>QQQ</x:v>
      </x:c>
      <x:c r="B31" t="str">
        <x:v>AAPL</x:v>
      </x:c>
      <x:c r="C31" t="str">
        <x:v>Apple</x:v>
      </x:c>
      <x:c r="D31" t="str">
        <x:v>A</x:v>
      </x:c>
      <x:c r="E31" s="16" t="n">
        <x:v>88.562875</x:v>
      </x:c>
      <x:c r="F31" s="16" t="n">
        <x:v>47.208068636363635</x:v>
      </x:c>
      <x:c r="G31" s="16"/>
      <x:c r="H31" s="16" t="str">
        <x:v>N/A</x:v>
      </x:c>
      <x:c r="I31" s="16" t="n">
        <x:v>0</x:v>
      </x:c>
      <x:c r="J31" s="16"/>
      <x:c r="K31" s="18" t="n">
        <x:v>316.85</x:v>
      </x:c>
      <x:c r="L31" s="18" t="n">
        <x:v>219.60177528901738</x:v>
      </x:c>
      <x:c r="M31" s="18" t="n">
        <x:v>291.87287933526017</x:v>
      </x:c>
      <x:c r="N31" s="18" t="n">
        <x:v>354.25272308526013</x:v>
      </x:c>
      <x:c r="O31" s="18" t="n">
        <x:v>97.15864970902754</x:v>
      </x:c>
      <x:c r="P31" s="18" t="n">
        <x:v>176.00952717382432</x:v>
      </x:c>
      <x:c r="Q31" s="18" t="n">
        <x:v>300.92430233307755</x:v>
      </x:c>
      <x:c r="R31" s="20" t="n">
        <x:v>0.5</x:v>
      </x:c>
      <x:c r="S31" s="20" t="n">
        <x:v>0.5</x:v>
      </x:c>
      <x:c r="T31" s="18" t="n">
        <x:v>158.38021249902246</x:v>
      </x:c>
      <x:c r="U31" s="18" t="n">
        <x:v>233.94120325454224</x:v>
      </x:c>
      <x:c r="V31" s="18" t="n">
        <x:v>327.58851270916887</x:v>
      </x:c>
      <x:c r="W31" s="22" t="n">
        <x:v>-0.500141352378026</x:v>
      </x:c>
      <x:c r="X31" s="22" t="n">
        <x:v>-0.26166576217597526</x:v>
      </x:c>
      <x:c r="Y31" s="22" t="n">
        <x:v>0.033891471387624605</x:v>
      </x:c>
      <x:c r="Z31" s="16" t="n">
        <x:v>5.216102618151975</x:v>
      </x:c>
      <x:c r="AA31" s="16" t="n">
        <x:v>49.453304406408336</x:v>
      </x:c>
      <x:c r="AB31" t="str">
        <x:v>Forward EPS × own 20Q forward-P/E bands</x:v>
      </x:c>
      <x:c r="AC31" t="str">
        <x:v>5Y normalized-FCF DCF</x:v>
      </x:c>
      <x:c r="AD31" t="str">
        <x:v>Hybrid 50/50</x:v>
      </x:c>
      <x:c r="AE31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32">
      <x:c r="A32" t="str">
        <x:v>QQQ</x:v>
      </x:c>
      <x:c r="B32" t="str">
        <x:v>GOOGL</x:v>
      </x:c>
      <x:c r="C32" t="str">
        <x:v>Alphabet</x:v>
      </x:c>
      <x:c r="D32" t="str">
        <x:v>A</x:v>
      </x:c>
      <x:c r="E32" s="16" t="n">
        <x:v>76.600855</x:v>
      </x:c>
      <x:c r="F32" s="16" t="n">
        <x:v>58.622718181818186</x:v>
      </x:c>
      <x:c r="G32" s="16"/>
      <x:c r="H32" s="16" t="str">
        <x:v>N/A</x:v>
      </x:c>
      <x:c r="I32" s="16" t="n">
        <x:v>0</x:v>
      </x:c>
      <x:c r="J32" s="16"/>
      <x:c r="K32" s="18" t="n">
        <x:v>339.35</x:v>
      </x:c>
      <x:c r="L32" s="18" t="n">
        <x:v>240.87718774548313</x:v>
      </x:c>
      <x:c r="M32" s="18" t="n">
        <x:v>320.64976237234885</x:v>
      </x:c>
      <x:c r="N32" s="18" t="n">
        <x:v>409.7341356539671</x:v>
      </x:c>
      <x:c r="O32" s="18" t="n">
        <x:v>93.70357295245194</x:v>
      </x:c>
      <x:c r="P32" s="18" t="n">
        <x:v>168.6016533266053</x:v>
      </x:c>
      <x:c r="Q32" s="18" t="n">
        <x:v>286.60826601709147</x:v>
      </x:c>
      <x:c r="R32" s="20" t="n">
        <x:v>0.5</x:v>
      </x:c>
      <x:c r="S32" s="20" t="n">
        <x:v>0.5</x:v>
      </x:c>
      <x:c r="T32" s="18" t="n">
        <x:v>167.29038034896752</x:v>
      </x:c>
      <x:c r="U32" s="18" t="n">
        <x:v>244.62570784947707</x:v>
      </x:c>
      <x:c r="V32" s="18" t="n">
        <x:v>348.17120083552925</x:v>
      </x:c>
      <x:c r="W32" s="22" t="n">
        <x:v>-0.5070270212200751</x:v>
      </x:c>
      <x:c r="X32" s="22" t="n">
        <x:v>-0.27913449874914675</x:v>
      </x:c>
      <x:c r="Y32" s="22" t="n">
        <x:v>0.025994403522997533</x:v>
      </x:c>
      <x:c r="Z32" s="16" t="n">
        <x:v>4.717427909696649</x:v>
      </x:c>
      <x:c r="AA32" s="16" t="n">
        <x:v>49.1134458023172</x:v>
      </x:c>
      <x:c r="AB32" t="str">
        <x:v>Forward EPS × own 20Q forward-P/E bands</x:v>
      </x:c>
      <x:c r="AC32" t="str">
        <x:v>5Y normalized-FCF DCF</x:v>
      </x:c>
      <x:c r="AD32" t="str">
        <x:v>Hybrid 50/50</x:v>
      </x:c>
      <x:c r="AE32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33">
      <x:c r="A33" t="str">
        <x:v>QQQ</x:v>
      </x:c>
      <x:c r="B33" t="str">
        <x:v>CSCO</x:v>
      </x:c>
      <x:c r="C33" t="str">
        <x:v>Cisco Systems</x:v>
      </x:c>
      <x:c r="D33" t="str">
        <x:v>A</x:v>
      </x:c>
      <x:c r="E33" s="16" t="n">
        <x:v>84.65018999999998</x:v>
      </x:c>
      <x:c r="F33" s="16" t="n">
        <x:v>53.82998863636364</x:v>
      </x:c>
      <x:c r="G33" s="16" t="n">
        <x:v>42.14285714285721</x:v>
      </x:c>
      <x:c r="H33" s="16" t="str">
        <x:v>Low</x:v>
      </x:c>
      <x:c r="I33" s="16" t="n">
        <x:v>1</x:v>
      </x:c>
      <x:c r="J33" s="16" t="n">
        <x:v>27.39285714285719</x:v>
      </x:c>
      <x:c r="K33" s="18" t="n">
        <x:v>110.49</x:v>
      </x:c>
      <x:c r="L33" s="18" t="n">
        <x:v>62.05803561452514</x:v>
      </x:c>
      <x:c r="M33" s="18" t="n">
        <x:v>81.36549441340783</x:v>
      </x:c>
      <x:c r="N33" s="18" t="n">
        <x:v>109.3390625</x:v>
      </x:c>
      <x:c r="O33" s="18" t="n">
        <x:v>44.45102960027645</x:v>
      </x:c>
      <x:c r="P33" s="18" t="n">
        <x:v>80.44618815289131</x:v>
      </x:c>
      <x:c r="Q33" s="18" t="n">
        <x:v>137.4244083630045</x:v>
      </x:c>
      <x:c r="R33" s="20" t="n">
        <x:v>0.5</x:v>
      </x:c>
      <x:c r="S33" s="20" t="n">
        <x:v>0.5</x:v>
      </x:c>
      <x:c r="T33" s="18" t="n">
        <x:v>53.25453260740079</x:v>
      </x:c>
      <x:c r="U33" s="18" t="n">
        <x:v>80.90584128314957</x:v>
      </x:c>
      <x:c r="V33" s="18" t="n">
        <x:v>123.38173543150225</x:v>
      </x:c>
      <x:c r="W33" s="22" t="n">
        <x:v>-0.51801490987962</x:v>
      </x:c>
      <x:c r="X33" s="22" t="n">
        <x:v>-0.2677541742859121</x:v>
      </x:c>
      <x:c r="Y33" s="22" t="n">
        <x:v>0.11667784805414305</x:v>
      </x:c>
      <x:c r="Z33" s="16" t="n">
        <x:v>6.503793894120202</x:v>
      </x:c>
      <x:c r="AA33" s="16" t="n">
        <x:v>47.27893063586772</x:v>
      </x:c>
      <x:c r="AB33" t="str">
        <x:v>Forward EPS × own 20Q forward-P/E bands</x:v>
      </x:c>
      <x:c r="AC33" t="str">
        <x:v>5Y normalized-FCF DCF</x:v>
      </x:c>
      <x:c r="AD33" t="str">
        <x:v>Hybrid 50/50</x:v>
      </x:c>
      <x:c r="AE33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34">
      <x:c r="A34" t="str">
        <x:v>Healthcare</x:v>
      </x:c>
      <x:c r="B34" t="str">
        <x:v>BAYRY</x:v>
      </x:c>
      <x:c r="C34" t="str">
        <x:v>Bayer</x:v>
      </x:c>
      <x:c r="D34" t="str">
        <x:v>B</x:v>
      </x:c>
      <x:c r="E34" s="16" t="n">
        <x:v>55</x:v>
      </x:c>
      <x:c r="F34" s="16" t="n">
        <x:v>60</x:v>
      </x:c>
      <x:c r="G34" s="16" t="n">
        <x:v>21</x:v>
      </x:c>
      <x:c r="H34" s="16" t="str">
        <x:v>Low</x:v>
      </x:c>
      <x:c r="I34" s="16" t="n">
        <x:v>1</x:v>
      </x:c>
      <x:c r="J34" s="16" t="n">
        <x:v>13.65</x:v>
      </x:c>
      <x:c r="K34" s="18" t="n">
        <x:v>14.02</x:v>
      </x:c>
      <x:c r="L34" s="18" t="n">
        <x:v>11.216000000000001</x:v>
      </x:c>
      <x:c r="M34" s="18" t="n">
        <x:v>15.422</x:v>
      </x:c>
      <x:c r="N34" s="18" t="n">
        <x:v>19.627999999999997</x:v>
      </x:c>
      <x:c r="O34" s="18" t="n">
        <x:v>9.5</x:v>
      </x:c>
      <x:c r="P34" s="18" t="n">
        <x:v>15.5</x:v>
      </x:c>
      <x:c r="Q34" s="18" t="n">
        <x:v>20</x:v>
      </x:c>
      <x:c r="R34" s="20" t="n">
        <x:v>0.25</x:v>
      </x:c>
      <x:c r="S34" s="20" t="n">
        <x:v>0.75</x:v>
      </x:c>
      <x:c r="T34" s="18" t="n">
        <x:v>9.929</x:v>
      </x:c>
      <x:c r="U34" s="18" t="n">
        <x:v>15.4805</x:v>
      </x:c>
      <x:c r="V34" s="18" t="n">
        <x:v>19.907</x:v>
      </x:c>
      <x:c r="W34" s="22" t="n">
        <x:v>-0.2917974322396576</x:v>
      </x:c>
      <x:c r="X34" s="22" t="n">
        <x:v>0.10417261055634808</x:v>
      </x:c>
      <x:c r="Y34" s="22" t="n">
        <x:v>0.4199001426533524</x:v>
      </x:c>
      <x:c r="Z34" s="16" t="n">
        <x:v>41.36265793764011</x:v>
      </x:c>
      <x:c r="AA34" s="16" t="n">
        <x:v>46.88816448441003</x:v>
      </x:c>
      <x:c r="AB34" t="str">
        <x:v>Standardized scenario proxy (reconstruction)</x:v>
      </x:c>
      <x:c r="AC34" t="str">
        <x:v>Enterprise/SOTP with leverage/litigation discount</x:v>
      </x:c>
      <x:c r="AD34" t="str">
        <x:v>Hybrid 25/75</x:v>
      </x:c>
      <x:c r="AE34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35">
      <x:c r="A35" t="str">
        <x:v>Healthcare</x:v>
      </x:c>
      <x:c r="B35" t="str">
        <x:v>NTRA</x:v>
      </x:c>
      <x:c r="C35" t="str">
        <x:v>Natera</x:v>
      </x:c>
      <x:c r="D35" t="str">
        <x:v>B</x:v>
      </x:c>
      <x:c r="E35" s="16" t="n">
        <x:v>88</x:v>
      </x:c>
      <x:c r="F35" s="16" t="n">
        <x:v>25</x:v>
      </x:c>
      <x:c r="G35" s="16" t="n">
        <x:v>24</x:v>
      </x:c>
      <x:c r="H35" s="16" t="str">
        <x:v>High</x:v>
      </x:c>
      <x:c r="I35" s="16" t="n">
        <x:v>5</x:v>
      </x:c>
      <x:c r="J35" s="16" t="n">
        <x:v>24</x:v>
      </x:c>
      <x:c r="K35" s="18" t="n">
        <x:v>326.26</x:v>
      </x:c>
      <x:c r="L35" s="18" t="n">
        <x:v>261.008</x:v>
      </x:c>
      <x:c r="M35" s="18" t="n">
        <x:v>358.886</x:v>
      </x:c>
      <x:c r="N35" s="18" t="n">
        <x:v>456.76399999999995</x:v>
      </x:c>
      <x:c r="O35" s="18" t="n">
        <x:v>190</x:v>
      </x:c>
      <x:c r="P35" s="18" t="n">
        <x:v>270</x:v>
      </x:c>
      <x:c r="Q35" s="18" t="n">
        <x:v>475</x:v>
      </x:c>
      <x:c r="R35" s="20" t="n">
        <x:v>0.25</x:v>
      </x:c>
      <x:c r="S35" s="20" t="n">
        <x:v>0.75</x:v>
      </x:c>
      <x:c r="T35" s="18" t="n">
        <x:v>207.752</x:v>
      </x:c>
      <x:c r="U35" s="18" t="n">
        <x:v>292.2215</x:v>
      </x:c>
      <x:c r="V35" s="18" t="n">
        <x:v>470.441</x:v>
      </x:c>
      <x:c r="W35" s="22" t="n">
        <x:v>-0.36323177833629616</x:v>
      </x:c>
      <x:c r="X35" s="22" t="n">
        <x:v>-0.10432936921473668</x:v>
      </x:c>
      <x:c r="Y35" s="22" t="n">
        <x:v>0.44192055415925946</x:v>
      </x:c>
      <x:c r="Z35" s="16" t="n">
        <x:v>26.873516739497862</x:v>
      </x:c>
      <x:c r="AA35" s="16" t="n">
        <x:v>44.218379184874465</x:v>
      </x:c>
      <x:c r="AB35" t="str">
        <x:v>Standardized scenario proxy (reconstruction)</x:v>
      </x:c>
      <x:c r="AC35" t="str">
        <x:v>Revenue/EV + path-to-FCF valuation</x:v>
      </x:c>
      <x:c r="AD35" t="str">
        <x:v>Hybrid 25/75</x:v>
      </x:c>
      <x:c r="AE35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36">
      <x:c r="A36" t="str">
        <x:v>QQQ</x:v>
      </x:c>
      <x:c r="B36" t="str">
        <x:v>AVGO</x:v>
      </x:c>
      <x:c r="C36" t="str">
        <x:v>Broadcom</x:v>
      </x:c>
      <x:c r="D36" t="str">
        <x:v>A</x:v>
      </x:c>
      <x:c r="E36" s="16" t="n">
        <x:v>98.556355</x:v>
      </x:c>
      <x:c r="F36" s="16" t="n">
        <x:v>11.550637727272726</x:v>
      </x:c>
      <x:c r="G36" s="16" t="n">
        <x:v>68.62500000000003</x:v>
      </x:c>
      <x:c r="H36" s="16" t="str">
        <x:v>Low</x:v>
      </x:c>
      <x:c r="I36" s="16" t="n">
        <x:v>1</x:v>
      </x:c>
      <x:c r="J36" s="16" t="n">
        <x:v>44.60625000000002</x:v>
      </x:c>
      <x:c r="K36" s="18" t="n">
        <x:v>370.34</x:v>
      </x:c>
      <x:c r="L36" s="18" t="n">
        <x:v>231.90826501917346</x:v>
      </x:c>
      <x:c r="M36" s="18" t="n">
        <x:v>400.2575389859395</x:v>
      </x:c>
      <x:c r="N36" s="18" t="n">
        <x:v>589.4058931614827</x:v>
      </x:c>
      <x:c r="O36" s="18" t="n">
        <x:v>84.0792140233178</x:v>
      </x:c>
      <x:c r="P36" s="18" t="n">
        <x:v>150.74191115844607</x:v>
      </x:c>
      <x:c r="Q36" s="18" t="n">
        <x:v>255.46376660299848</x:v>
      </x:c>
      <x:c r="R36" s="20" t="n">
        <x:v>0.5</x:v>
      </x:c>
      <x:c r="S36" s="20" t="n">
        <x:v>0.5</x:v>
      </x:c>
      <x:c r="T36" s="18" t="n">
        <x:v>157.99373952124563</x:v>
      </x:c>
      <x:c r="U36" s="18" t="n">
        <x:v>275.4997250721928</x:v>
      </x:c>
      <x:c r="V36" s="18" t="n">
        <x:v>422.4348298822406</x:v>
      </x:c>
      <x:c r="W36" s="22" t="n">
        <x:v>-0.5733819206101268</x:v>
      </x:c>
      <x:c r="X36" s="22" t="n">
        <x:v>-0.25608974166389586</x:v>
      </x:c>
      <x:c r="Y36" s="22" t="n">
        <x:v>0.1406675754232345</x:v>
      </x:c>
      <x:c r="Z36" s="16" t="n">
        <x:v>4.681230358887813</x:v>
      </x:c>
      <x:c r="AA36" s="16" t="n">
        <x:v>40.89334290790377</x:v>
      </x:c>
      <x:c r="AB36" t="str">
        <x:v>Forward EPS × own 20Q forward-P/E bands</x:v>
      </x:c>
      <x:c r="AC36" t="str">
        <x:v>5Y normalized-FCF DCF</x:v>
      </x:c>
      <x:c r="AD36" t="str">
        <x:v>Hybrid 50/50</x:v>
      </x:c>
      <x:c r="AE36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37">
      <x:c r="A37" t="str">
        <x:v>QQQ</x:v>
      </x:c>
      <x:c r="B37" t="str">
        <x:v>AMAT</x:v>
      </x:c>
      <x:c r="C37" t="str">
        <x:v>Applied Materials</x:v>
      </x:c>
      <x:c r="D37" t="str">
        <x:v>A</x:v>
      </x:c>
      <x:c r="E37" s="16" t="n">
        <x:v>90.44727499999999</x:v>
      </x:c>
      <x:c r="F37" s="16" t="n">
        <x:v>22.60819272727273</x:v>
      </x:c>
      <x:c r="G37" s="16" t="n">
        <x:v>63.60335195530723</x:v>
      </x:c>
      <x:c r="H37" s="16" t="str">
        <x:v>Low</x:v>
      </x:c>
      <x:c r="I37" s="16" t="n">
        <x:v>1</x:v>
      </x:c>
      <x:c r="J37" s="16" t="n">
        <x:v>41.3421787709497</x:v>
      </x:c>
      <x:c r="K37" s="18" t="n">
        <x:v>458.39</x:v>
      </x:c>
      <x:c r="L37" s="18" t="n">
        <x:v>264.1342300884956</x:v>
      </x:c>
      <x:c r="M37" s="18" t="n">
        <x:v>380.3543495575222</x:v>
      </x:c>
      <x:c r="N37" s="18" t="n">
        <x:v>525.4773783185841</x:v>
      </x:c>
      <x:c r="O37" s="18" t="n">
        <x:v>86.77864794617483</x:v>
      </x:c>
      <x:c r="P37" s="18" t="n">
        <x:v>156.5738536382441</x:v>
      </x:c>
      <x:c r="Q37" s="18" t="n">
        <x:v>266.78736798153363</x:v>
      </x:c>
      <x:c r="R37" s="20" t="n">
        <x:v>0.5</x:v>
      </x:c>
      <x:c r="S37" s="20" t="n">
        <x:v>0.5</x:v>
      </x:c>
      <x:c r="T37" s="18" t="n">
        <x:v>175.4564390173352</x:v>
      </x:c>
      <x:c r="U37" s="18" t="n">
        <x:v>268.46410159788314</x:v>
      </x:c>
      <x:c r="V37" s="18" t="n">
        <x:v>396.13237315005887</x:v>
      </x:c>
      <x:c r="W37" s="22" t="n">
        <x:v>-0.61723327512089</x:v>
      </x:c>
      <x:c r="X37" s="22" t="n">
        <x:v>-0.41433255176185535</x:v>
      </x:c>
      <x:c r="Y37" s="22" t="n">
        <x:v>-0.13581803017068683</x:v>
      </x:c>
      <x:c r="Z37" s="16" t="n">
        <x:v>0</x:v>
      </x:c>
      <x:c r="AA37" s="16" t="n">
        <x:v>40.11796713382427</x:v>
      </x:c>
      <x:c r="AB37" t="str">
        <x:v>Forward EPS × own 20Q forward-P/E bands</x:v>
      </x:c>
      <x:c r="AC37" t="str">
        <x:v>5Y normalized-FCF DCF</x:v>
      </x:c>
      <x:c r="AD37" t="str">
        <x:v>Hybrid 50/50</x:v>
      </x:c>
      <x:c r="AE37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38">
      <x:c r="A38" t="str">
        <x:v>Healthcare</x:v>
      </x:c>
      <x:c r="B38" t="str">
        <x:v>GH</x:v>
      </x:c>
      <x:c r="C38" t="str">
        <x:v>Guardant Health</x:v>
      </x:c>
      <x:c r="D38" t="str">
        <x:v>B</x:v>
      </x:c>
      <x:c r="E38" s="16" t="n">
        <x:v>84</x:v>
      </x:c>
      <x:c r="F38" s="16" t="n">
        <x:v>20</x:v>
      </x:c>
      <x:c r="G38" s="16" t="n">
        <x:v>9</x:v>
      </x:c>
      <x:c r="H38" s="16" t="str">
        <x:v>Low</x:v>
      </x:c>
      <x:c r="I38" s="16" t="n">
        <x:v>1</x:v>
      </x:c>
      <x:c r="J38" s="16" t="n">
        <x:v>5.8500000000000005</x:v>
      </x:c>
      <x:c r="K38" s="18" t="n">
        <x:v>161.5</x:v>
      </x:c>
      <x:c r="L38" s="18" t="n">
        <x:v>129.20000000000002</x:v>
      </x:c>
      <x:c r="M38" s="18" t="n">
        <x:v>177.65</x:v>
      </x:c>
      <x:c r="N38" s="18" t="n">
        <x:v>226.1</x:v>
      </x:c>
      <x:c r="O38" s="18" t="n">
        <x:v>85</x:v>
      </x:c>
      <x:c r="P38" s="18" t="n">
        <x:v>130</x:v>
      </x:c>
      <x:c r="Q38" s="18" t="n">
        <x:v>260</x:v>
      </x:c>
      <x:c r="R38" s="20" t="n">
        <x:v>0.25</x:v>
      </x:c>
      <x:c r="S38" s="20" t="n">
        <x:v>0.75</x:v>
      </x:c>
      <x:c r="T38" s="18" t="n">
        <x:v>96.05000000000001</x:v>
      </x:c>
      <x:c r="U38" s="18" t="n">
        <x:v>141.9125</x:v>
      </x:c>
      <x:c r="V38" s="18" t="n">
        <x:v>251.525</x:v>
      </x:c>
      <x:c r="W38" s="22" t="n">
        <x:v>-0.40526315789473677</x:v>
      </x:c>
      <x:c r="X38" s="22" t="n">
        <x:v>-0.12128482972136223</x:v>
      </x:c>
      <x:c r="Y38" s="22" t="n">
        <x:v>0.5574303405572756</x:v>
      </x:c>
      <x:c r="Z38" s="16" t="n">
        <x:v>26.95350508624503</x:v>
      </x:c>
      <x:c r="AA38" s="16" t="n">
        <x:v>38.81587627156126</x:v>
      </x:c>
      <x:c r="AB38" t="str">
        <x:v>Standardized scenario proxy (reconstruction)</x:v>
      </x:c>
      <x:c r="AC38" t="str">
        <x:v>Revenue/EV + path-to-FCF valuation</x:v>
      </x:c>
      <x:c r="AD38" t="str">
        <x:v>Hybrid 25/75</x:v>
      </x:c>
      <x:c r="AE38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39">
      <x:c r="A39" t="str">
        <x:v>QQQ</x:v>
      </x:c>
      <x:c r="B39" t="str">
        <x:v>LRCX</x:v>
      </x:c>
      <x:c r="C39" t="str">
        <x:v>Lam Research</x:v>
      </x:c>
      <x:c r="D39" t="str">
        <x:v>A</x:v>
      </x:c>
      <x:c r="E39" s="16" t="n">
        <x:v>89.267425</x:v>
      </x:c>
      <x:c r="F39" s="16" t="n">
        <x:v>18.289855909090907</x:v>
      </x:c>
      <x:c r="G39" s="16" t="n">
        <x:v>63.88745454545455</x:v>
      </x:c>
      <x:c r="H39" s="16" t="str">
        <x:v>Low</x:v>
      </x:c>
      <x:c r="I39" s="16" t="n">
        <x:v>1</x:v>
      </x:c>
      <x:c r="J39" s="16" t="n">
        <x:v>41.52684545454546</x:v>
      </x:c>
      <x:c r="K39" s="18" t="n">
        <x:v>301.49</x:v>
      </x:c>
      <x:c r="L39" s="18" t="n">
        <x:v>159.31811931283337</x:v>
      </x:c>
      <x:c r="M39" s="18" t="n">
        <x:v>239.54596109193605</x:v>
      </x:c>
      <x:c r="N39" s="18" t="n">
        <x:v>345.76277063068716</x:v>
      </x:c>
      <x:c r="O39" s="18" t="n">
        <x:v>44.6754656466955</x:v>
      </x:c>
      <x:c r="P39" s="18" t="n">
        <x:v>80.09667016640645</x:v>
      </x:c>
      <x:c r="Q39" s="18" t="n">
        <x:v>135.7405972620358</x:v>
      </x:c>
      <x:c r="R39" s="20" t="n">
        <x:v>0.5</x:v>
      </x:c>
      <x:c r="S39" s="20" t="n">
        <x:v>0.5</x:v>
      </x:c>
      <x:c r="T39" s="18" t="n">
        <x:v>101.99679247976444</x:v>
      </x:c>
      <x:c r="U39" s="18" t="n">
        <x:v>159.82131562917124</x:v>
      </x:c>
      <x:c r="V39" s="18" t="n">
        <x:v>240.75168394636148</x:v>
      </x:c>
      <x:c r="W39" s="22" t="n">
        <x:v>-0.661690959966286</x:v>
      </x:c>
      <x:c r="X39" s="22" t="n">
        <x:v>-0.4698951353969577</x:v>
      </x:c>
      <x:c r="Y39" s="22" t="n">
        <x:v>-0.2014604665283708</x:v>
      </x:c>
      <x:c r="Z39" s="16" t="n">
        <x:v>0</x:v>
      </x:c>
      <x:c r="AA39" s="16" t="n">
        <x:v>38.496211090909085</x:v>
      </x:c>
      <x:c r="AB39" t="str">
        <x:v>Forward EPS × own 20Q forward-P/E bands</x:v>
      </x:c>
      <x:c r="AC39" t="str">
        <x:v>5Y normalized-FCF DCF</x:v>
      </x:c>
      <x:c r="AD39" t="str">
        <x:v>Hybrid 50/50</x:v>
      </x:c>
      <x:c r="AE39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40">
      <x:c r="A40" t="str">
        <x:v>Healthcare</x:v>
      </x:c>
      <x:c r="B40" t="str">
        <x:v>BIO</x:v>
      </x:c>
      <x:c r="C40" t="str">
        <x:v>Bio-Rad Laboratories</x:v>
      </x:c>
      <x:c r="D40" t="str">
        <x:v>B</x:v>
      </x:c>
      <x:c r="E40" s="16" t="n">
        <x:v>50</x:v>
      </x:c>
      <x:c r="F40" s="16" t="n">
        <x:v>40</x:v>
      </x:c>
      <x:c r="G40" s="16" t="n">
        <x:v>42</x:v>
      </x:c>
      <x:c r="H40" s="16" t="str">
        <x:v>Low</x:v>
      </x:c>
      <x:c r="I40" s="16" t="n">
        <x:v>1</x:v>
      </x:c>
      <x:c r="J40" s="16" t="n">
        <x:v>27.3</x:v>
      </x:c>
      <x:c r="K40" s="18" t="n">
        <x:v>387.7</x:v>
      </x:c>
      <x:c r="L40" s="18" t="n">
        <x:v>310.16</x:v>
      </x:c>
      <x:c r="M40" s="18" t="n">
        <x:v>426.47</x:v>
      </x:c>
      <x:c r="N40" s="18" t="n">
        <x:v>542.78</x:v>
      </x:c>
      <x:c r="O40" s="18" t="n">
        <x:v>270</x:v>
      </x:c>
      <x:c r="P40" s="18" t="n">
        <x:v>340</x:v>
      </x:c>
      <x:c r="Q40" s="18" t="n">
        <x:v>470</x:v>
      </x:c>
      <x:c r="R40" s="20" t="n">
        <x:v>0.25</x:v>
      </x:c>
      <x:c r="S40" s="20" t="n">
        <x:v>0.75</x:v>
      </x:c>
      <x:c r="T40" s="18" t="n">
        <x:v>280.04</x:v>
      </x:c>
      <x:c r="U40" s="18" t="n">
        <x:v>361.6175</x:v>
      </x:c>
      <x:c r="V40" s="18" t="n">
        <x:v>488.195</x:v>
      </x:c>
      <x:c r="W40" s="22" t="n">
        <x:v>-0.2776889347433582</x:v>
      </x:c>
      <x:c r="X40" s="22" t="n">
        <x:v>-0.06727495486200663</x:v>
      </x:c>
      <x:c r="Y40" s="22" t="n">
        <x:v>0.2592081506319319</x:v>
      </x:c>
      <x:c r="Z40" s="16" t="n">
        <x:v>28.165601164375996</x:v>
      </x:c>
      <x:c r="AA40" s="16" t="n">
        <x:v>38.136400291094</x:v>
      </x:c>
      <x:c r="AB40" t="str">
        <x:v>Standardized scenario proxy (reconstruction)</x:v>
      </x:c>
      <x:c r="AC40" t="str">
        <x:v>Normalized earnings / cash-flow / asset context</x:v>
      </x:c>
      <x:c r="AD40" t="str">
        <x:v>Hybrid 25/75</x:v>
      </x:c>
      <x:c r="AE40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41">
      <x:c r="A41" t="str">
        <x:v>QQQ</x:v>
      </x:c>
      <x:c r="B41" t="str">
        <x:v>PANW</x:v>
      </x:c>
      <x:c r="C41" t="str">
        <x:v>Palo Alto Networks</x:v>
      </x:c>
      <x:c r="D41" t="str">
        <x:v>A</x:v>
      </x:c>
      <x:c r="E41" s="16" t="n">
        <x:v>77.40677202543888</x:v>
      </x:c>
      <x:c r="F41" s="16" t="n">
        <x:v>27.732412440191382</x:v>
      </x:c>
      <x:c r="G41" s="16" t="n">
        <x:v>53.65479452054788</x:v>
      </x:c>
      <x:c r="H41" s="16" t="str">
        <x:v>Low</x:v>
      </x:c>
      <x:c r="I41" s="16" t="n">
        <x:v>1</x:v>
      </x:c>
      <x:c r="J41" s="16" t="n">
        <x:v>34.875616438356126</x:v>
      </x:c>
      <x:c r="K41" s="18" t="n">
        <x:v>382.13</x:v>
      </x:c>
      <x:c r="L41" s="18" t="n">
        <x:v>173.52319752581536</x:v>
      </x:c>
      <x:c r="M41" s="18" t="n">
        <x:v>236.83777456292813</x:v>
      </x:c>
      <x:c r="N41" s="18" t="n">
        <x:v>281.5869517431755</x:v>
      </x:c>
      <x:c r="O41" s="18" t="n">
        <x:v>121.43319646621936</x:v>
      </x:c>
      <x:c r="P41" s="18" t="n">
        <x:v>219.07291247711967</x:v>
      </x:c>
      <x:c r="Q41" s="18" t="n">
        <x:v>373.23987685735483</x:v>
      </x:c>
      <x:c r="R41" s="20" t="n">
        <x:v>0.5</x:v>
      </x:c>
      <x:c r="S41" s="20" t="n">
        <x:v>0.5</x:v>
      </x:c>
      <x:c r="T41" s="18" t="n">
        <x:v>147.47819699601735</x:v>
      </x:c>
      <x:c r="U41" s="18" t="n">
        <x:v>227.95534352002392</x:v>
      </x:c>
      <x:c r="V41" s="18" t="n">
        <x:v>327.4134143002652</x:v>
      </x:c>
      <x:c r="W41" s="22" t="n">
        <x:v>-0.614062761374356</x:v>
      </x:c>
      <x:c r="X41" s="22" t="n">
        <x:v>-0.4034612735979276</x:v>
      </x:c>
      <x:c r="Y41" s="22" t="n">
        <x:v>-0.14318840630082652</x:v>
      </x:c>
      <x:c r="Z41" s="16" t="n">
        <x:v>0</x:v>
      </x:c>
      <x:c r="AA41" s="16" t="n">
        <x:v>36.7730978054425</x:v>
      </x:c>
      <x:c r="AB41" t="str">
        <x:v>Forward EPS × own 20Q forward-P/E bands</x:v>
      </x:c>
      <x:c r="AC41" t="str">
        <x:v>5Y normalized-FCF DCF</x:v>
      </x:c>
      <x:c r="AD41" t="str">
        <x:v>Hybrid 50/50</x:v>
      </x:c>
      <x:c r="AE41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42">
      <x:c r="A42" t="str">
        <x:v>QQQ</x:v>
      </x:c>
      <x:c r="B42" t="str">
        <x:v>WMT</x:v>
      </x:c>
      <x:c r="C42" t="str">
        <x:v>Walmart</x:v>
      </x:c>
      <x:c r="D42" t="str">
        <x:v>A</x:v>
      </x:c>
      <x:c r="E42" s="16" t="n">
        <x:v>45.957269999999994</x:v>
      </x:c>
      <x:c r="F42" s="16" t="n">
        <x:v>40.01146356643356</x:v>
      </x:c>
      <x:c r="G42" s="16" t="n">
        <x:v>38.823529411764646</x:v>
      </x:c>
      <x:c r="H42" s="16" t="str">
        <x:v>Low</x:v>
      </x:c>
      <x:c r="I42" s="16" t="n">
        <x:v>1</x:v>
      </x:c>
      <x:c r="J42" s="16" t="n">
        <x:v>25.235294117647022</x:v>
      </x:c>
      <x:c r="K42" s="18" t="n">
        <x:v>104.87</x:v>
      </x:c>
      <x:c r="L42" s="18" t="n">
        <x:v>62.93993160444571</x:v>
      </x:c>
      <x:c r="M42" s="18" t="n">
        <x:v>82.64676489028214</x:v>
      </x:c>
      <x:c r="N42" s="18" t="n">
        <x:v>137.5970459888857</x:v>
      </x:c>
      <x:c r="O42" s="18" t="n">
        <x:v>26.40965698131327</x:v>
      </x:c>
      <x:c r="P42" s="18" t="n">
        <x:v>48.21424065506593</x:v>
      </x:c>
      <x:c r="Q42" s="18" t="n">
        <x:v>82.96566844244938</x:v>
      </x:c>
      <x:c r="R42" s="20" t="n">
        <x:v>0.5</x:v>
      </x:c>
      <x:c r="S42" s="20" t="n">
        <x:v>0.5</x:v>
      </x:c>
      <x:c r="T42" s="18" t="n">
        <x:v>44.67479429287949</x:v>
      </x:c>
      <x:c r="U42" s="18" t="n">
        <x:v>65.43050277267403</x:v>
      </x:c>
      <x:c r="V42" s="18" t="n">
        <x:v>110.28135721566754</x:v>
      </x:c>
      <x:c r="W42" s="22" t="n">
        <x:v>-0.5739983380101126</x:v>
      </x:c>
      <x:c r="X42" s="22" t="n">
        <x:v>-0.3760798820189375</x:v>
      </x:c>
      <x:c r="Y42" s="22" t="n">
        <x:v>0.05160062187153169</x:v>
      </x:c>
      <x:c r="Z42" s="16" t="n">
        <x:v>2.427588258845866</x:v>
      </x:c>
      <x:c r="AA42" s="16" t="n">
        <x:v>30.182811252288587</x:v>
      </x:c>
      <x:c r="AB42" t="str">
        <x:v>Forward EPS × own 20Q forward-P/E bands</x:v>
      </x:c>
      <x:c r="AC42" t="str">
        <x:v>5Y normalized-FCF DCF</x:v>
      </x:c>
      <x:c r="AD42" t="str">
        <x:v>Hybrid 50/50</x:v>
      </x:c>
      <x:c r="AE42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43">
      <x:c r="A43" t="str">
        <x:v>QQQ</x:v>
      </x:c>
      <x:c r="B43" t="str">
        <x:v>COST</x:v>
      </x:c>
      <x:c r="C43" t="str">
        <x:v>Costco Wholesale</x:v>
      </x:c>
      <x:c r="D43" t="str">
        <x:v>A</x:v>
      </x:c>
      <x:c r="E43" s="16" t="n">
        <x:v>49.37400499999999</x:v>
      </x:c>
      <x:c r="F43" s="16" t="n">
        <x:v>32.68100178321678</x:v>
      </x:c>
      <x:c r="G43" s="16"/>
      <x:c r="H43" s="16" t="str">
        <x:v>N/A</x:v>
      </x:c>
      <x:c r="I43" s="16" t="n">
        <x:v>0</x:v>
      </x:c>
      <x:c r="J43" s="16"/>
      <x:c r="K43" s="18" t="n">
        <x:v>943.89</x:v>
      </x:c>
      <x:c r="L43" s="18" t="n">
        <x:v>739.1467372881357</x:v>
      </x:c>
      <x:c r="M43" s="18" t="n">
        <x:v>1065.8812627118646</x:v>
      </x:c>
      <x:c r="N43" s="18" t="n">
        <x:v>1337.9262711864405</x:v>
      </x:c>
      <x:c r="O43" s="18" t="n">
        <x:v>176.29735094939835</x:v>
      </x:c>
      <x:c r="P43" s="18" t="n">
        <x:v>320.35518839648887</x:v>
      </x:c>
      <x:c r="Q43" s="18" t="n">
        <x:v>549.1218328569064</x:v>
      </x:c>
      <x:c r="R43" s="20" t="n">
        <x:v>0.5</x:v>
      </x:c>
      <x:c r="S43" s="20" t="n">
        <x:v>0.5</x:v>
      </x:c>
      <x:c r="T43" s="18" t="n">
        <x:v>457.72204411876703</x:v>
      </x:c>
      <x:c r="U43" s="18" t="n">
        <x:v>693.1182255541767</x:v>
      </x:c>
      <x:c r="V43" s="18" t="n">
        <x:v>943.5240520216735</x:v>
      </x:c>
      <x:c r="W43" s="22" t="n">
        <x:v>-0.5150684464092563</x:v>
      </x:c>
      <x:c r="X43" s="22" t="n">
        <x:v>-0.26567902451114356</x:v>
      </x:c>
      <x:c r="Y43" s="22" t="n">
        <x:v>-0.00038770193383397267</x:v>
      </x:c>
      <x:c r="Z43" s="16" t="n">
        <x:v>3.7157554695950354</x:v>
      </x:c>
      <x:c r="AA43" s="16" t="n">
        <x:v>30.053459885133872</x:v>
      </x:c>
      <x:c r="AB43" t="str">
        <x:v>Forward EPS × own 20Q forward-P/E bands</x:v>
      </x:c>
      <x:c r="AC43" t="str">
        <x:v>5Y normalized-FCF DCF</x:v>
      </x:c>
      <x:c r="AD43" t="str">
        <x:v>Hybrid 50/50</x:v>
      </x:c>
      <x:c r="AE43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44">
      <x:c r="A44" t="str">
        <x:v>QQQ</x:v>
      </x:c>
      <x:c r="B44" t="str">
        <x:v>PLTR</x:v>
      </x:c>
      <x:c r="C44" t="str">
        <x:v>Palantir Technologies</x:v>
      </x:c>
      <x:c r="D44" t="str">
        <x:v>A</x:v>
      </x:c>
      <x:c r="E44" s="16" t="n">
        <x:v>92.6836</x:v>
      </x:c>
      <x:c r="F44" s="16" t="n">
        <x:v>0.9589613636363635</x:v>
      </x:c>
      <x:c r="G44" s="16" t="n">
        <x:v>14.486714841578587</x:v>
      </x:c>
      <x:c r="H44" s="16" t="str">
        <x:v>Low</x:v>
      </x:c>
      <x:c r="I44" s="16" t="n">
        <x:v>1</x:v>
      </x:c>
      <x:c r="J44" s="16" t="n">
        <x:v>9.416364647026082</x:v>
      </x:c>
      <x:c r="K44" s="18" t="n">
        <x:v>186.38</x:v>
      </x:c>
      <x:c r="L44" s="18" t="n">
        <x:v>103.35696047794117</x:v>
      </x:c>
      <x:c r="M44" s="18" t="n">
        <x:v>145.03264767156864</x:v>
      </x:c>
      <x:c r="N44" s="18" t="n">
        <x:v>200.7482192095588</x:v>
      </x:c>
      <x:c r="O44" s="18" t="n">
        <x:v>16.397734601014022</x:v>
      </x:c>
      <x:c r="P44" s="18" t="n">
        <x:v>29.39877449068825</x:v>
      </x:c>
      <x:c r="Q44" s="18" t="n">
        <x:v>49.82238587256073</x:v>
      </x:c>
      <x:c r="R44" s="20" t="n">
        <x:v>0.5</x:v>
      </x:c>
      <x:c r="S44" s="20" t="n">
        <x:v>0.5</x:v>
      </x:c>
      <x:c r="T44" s="18" t="n">
        <x:v>59.8773475394776</x:v>
      </x:c>
      <x:c r="U44" s="18" t="n">
        <x:v>87.21571108112845</x:v>
      </x:c>
      <x:c r="V44" s="18" t="n">
        <x:v>125.28530254105976</x:v>
      </x:c>
      <x:c r="W44" s="22" t="n">
        <x:v>-0.6787351242650628</x:v>
      </x:c>
      <x:c r="X44" s="22" t="n">
        <x:v>-0.5320543455245818</x:v>
      </x:c>
      <x:c r="Y44" s="22" t="n">
        <x:v>-0.32779642375222784</x:v>
      </x:c>
      <x:c r="Z44" s="16" t="n">
        <x:v>0</x:v>
      </x:c>
      <x:c r="AA44" s="16" t="n">
        <x:v>29.505223106144822</x:v>
      </x:c>
      <x:c r="AB44" t="str">
        <x:v>Forward EPS × own 20Q forward-P/E bands</x:v>
      </x:c>
      <x:c r="AC44" t="str">
        <x:v>5Y normalized-FCF DCF</x:v>
      </x:c>
      <x:c r="AD44" t="str">
        <x:v>Hybrid 50/50</x:v>
      </x:c>
      <x:c r="AE44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45">
      <x:c r="A45" t="str">
        <x:v>QQQ</x:v>
      </x:c>
      <x:c r="B45" t="str">
        <x:v>INTC</x:v>
      </x:c>
      <x:c r="C45" t="str">
        <x:v>Intel</x:v>
      </x:c>
      <x:c r="D45" t="str">
        <x:v>A</x:v>
      </x:c>
      <x:c r="E45" s="16" t="n">
        <x:v>67.90526</x:v>
      </x:c>
      <x:c r="F45" s="16" t="n">
        <x:v>26.718015279720277</x:v>
      </x:c>
      <x:c r="G45" s="16" t="n">
        <x:v>0</x:v>
      </x:c>
      <x:c r="H45" s="16" t="str">
        <x:v>Low</x:v>
      </x:c>
      <x:c r="I45" s="16" t="n">
        <x:v>1</x:v>
      </x:c>
      <x:c r="J45" s="16" t="n">
        <x:v>0</x:v>
      </x:c>
      <x:c r="K45" s="18" t="n">
        <x:v>89.51</x:v>
      </x:c>
      <x:c r="L45" s="18" t="n">
        <x:v>24.229001391982187</x:v>
      </x:c>
      <x:c r="M45" s="18" t="n">
        <x:v>53.54319413511508</x:v>
      </x:c>
      <x:c r="N45" s="18" t="n">
        <x:v>137.99043012249447</x:v>
      </x:c>
      <x:c r="O45" s="18" t="n">
        <x:v>6.131941954268595</x:v>
      </x:c>
      <x:c r="P45" s="18" t="n">
        <x:v>11.088647344177213</x:v>
      </x:c>
      <x:c r="Q45" s="18" t="n">
        <x:v>18.92987840716726</x:v>
      </x:c>
      <x:c r="R45" s="20" t="n">
        <x:v>0.5</x:v>
      </x:c>
      <x:c r="S45" s="20" t="n">
        <x:v>0.5</x:v>
      </x:c>
      <x:c r="T45" s="18" t="n">
        <x:v>15.18047167312539</x:v>
      </x:c>
      <x:c r="U45" s="18" t="n">
        <x:v>32.315920739646145</x:v>
      </x:c>
      <x:c r="V45" s="18" t="n">
        <x:v>78.46015426483086</x:v>
      </x:c>
      <x:c r="W45" s="22" t="n">
        <x:v>-0.8304047405527272</x:v>
      </x:c>
      <x:c r="X45" s="22" t="n">
        <x:v>-0.6389685985962893</x:v>
      </x:c>
      <x:c r="Y45" s="22" t="n">
        <x:v>-0.12344817042977485</x:v>
      </x:c>
      <x:c r="Z45" s="16" t="n">
        <x:v>0</x:v>
      </x:c>
      <x:c r="AA45" s="16" t="n">
        <x:v>28.38698258391608</x:v>
      </x:c>
      <x:c r="AB45" t="str">
        <x:v>Forward EPS × own 20Q forward-P/E bands</x:v>
      </x:c>
      <x:c r="AC45" t="str">
        <x:v>5Y normalized-FCF DCF</x:v>
      </x:c>
      <x:c r="AD45" t="str">
        <x:v>Hybrid 50/50</x:v>
      </x:c>
      <x:c r="AE45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46">
      <x:c r="A46" t="str">
        <x:v>QQQ</x:v>
      </x:c>
      <x:c r="B46" t="str">
        <x:v>AMD</x:v>
      </x:c>
      <x:c r="C46" t="str">
        <x:v>Advanced Micro Devices</x:v>
      </x:c>
      <x:c r="D46" t="str">
        <x:v>A</x:v>
      </x:c>
      <x:c r="E46" s="16" t="n">
        <x:v>72.23020499999998</x:v>
      </x:c>
      <x:c r="F46" s="16" t="n">
        <x:v>4.292214825174825</x:v>
      </x:c>
      <x:c r="G46" s="16" t="n">
        <x:v>36.9561224489796</x:v>
      </x:c>
      <x:c r="H46" s="16" t="str">
        <x:v>Medium</x:v>
      </x:c>
      <x:c r="I46" s="16" t="n">
        <x:v>3</x:v>
      </x:c>
      <x:c r="J46" s="16" t="n">
        <x:v>33.26051020408164</x:v>
      </x:c>
      <x:c r="K46" s="18" t="n">
        <x:v>470.72</x:v>
      </x:c>
      <x:c r="L46" s="18" t="n">
        <x:v>292.14518168947615</x:v>
      </x:c>
      <x:c r="M46" s="18" t="n">
        <x:v>413.20730155733844</x:v>
      </x:c>
      <x:c r="N46" s="18" t="n">
        <x:v>550.5316422840963</x:v>
      </x:c>
      <x:c r="O46" s="18" t="n">
        <x:v>42.048888137500995</x:v>
      </x:c>
      <x:c r="P46" s="18" t="n">
        <x:v>75.38759530003145</x:v>
      </x:c>
      <x:c r="Q46" s="18" t="n">
        <x:v>127.76008279638604</x:v>
      </x:c>
      <x:c r="R46" s="20" t="n">
        <x:v>0.5</x:v>
      </x:c>
      <x:c r="S46" s="20" t="n">
        <x:v>0.5</x:v>
      </x:c>
      <x:c r="T46" s="18" t="n">
        <x:v>167.09703491348859</x:v>
      </x:c>
      <x:c r="U46" s="18" t="n">
        <x:v>244.29744842868496</x:v>
      </x:c>
      <x:c r="V46" s="18" t="n">
        <x:v>339.1458625402412</x:v>
      </x:c>
      <x:c r="W46" s="22" t="n">
        <x:v>-0.6450181957140368</x:v>
      </x:c>
      <x:c r="X46" s="22" t="n">
        <x:v>-0.4810132383822975</x:v>
      </x:c>
      <x:c r="Y46" s="22" t="n">
        <x:v>-0.27951677740431435</x:v>
      </x:c>
      <x:c r="Z46" s="16" t="n">
        <x:v>0</x:v>
      </x:c>
      <x:c r="AA46" s="16" t="n">
        <x:v>27.945802478164687</x:v>
      </x:c>
      <x:c r="AB46" t="str">
        <x:v>Forward EPS × own 20Q forward-P/E bands</x:v>
      </x:c>
      <x:c r="AC46" t="str">
        <x:v>5Y normalized-FCF DCF</x:v>
      </x:c>
      <x:c r="AD46" t="str">
        <x:v>Hybrid 50/50</x:v>
      </x:c>
      <x:c r="AE46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47">
      <x:c r="A47" t="str">
        <x:v>QQQ</x:v>
      </x:c>
      <x:c r="B47" t="str">
        <x:v>SPCX</x:v>
      </x:c>
      <x:c r="C47" t="str">
        <x:v>SpaceX</x:v>
      </x:c>
      <x:c r="D47" t="str">
        <x:v>B</x:v>
      </x:c>
      <x:c r="E47" s="16" t="n">
        <x:v>37.72862692307692</x:v>
      </x:c>
      <x:c r="F47" s="16" t="n">
        <x:v>0</x:v>
      </x:c>
      <x:c r="G47" s="16"/>
      <x:c r="H47" s="16" t="str">
        <x:v>N/A</x:v>
      </x:c>
      <x:c r="I47" s="16" t="n">
        <x:v>0</x:v>
      </x:c>
      <x:c r="J47" s="16"/>
      <x:c r="K47" s="18" t="n">
        <x:v>143.69</x:v>
      </x:c>
      <x:c r="L47" s="18" t="n">
        <x:v>90.5247</x:v>
      </x:c>
      <x:c r="M47" s="18" t="n">
        <x:v>158.059</x:v>
      </x:c>
      <x:c r="N47" s="18" t="n">
        <x:v>233.49625</x:v>
      </x:c>
      <x:c r="O47" s="18"/>
      <x:c r="P47" s="18"/>
      <x:c r="Q47" s="18"/>
      <x:c r="R47" s="20" t="n">
        <x:v>1</x:v>
      </x:c>
      <x:c r="S47" s="20" t="n">
        <x:v>0</x:v>
      </x:c>
      <x:c r="T47" s="18" t="n">
        <x:v>90.5247</x:v>
      </x:c>
      <x:c r="U47" s="18" t="n">
        <x:v>158.059</x:v>
      </x:c>
      <x:c r="V47" s="18" t="n">
        <x:v>233.49625</x:v>
      </x:c>
      <x:c r="W47" s="22" t="n">
        <x:v>-0.37</x:v>
      </x:c>
      <x:c r="X47" s="22" t="n">
        <x:v>0.10000000000000009</x:v>
      </x:c>
      <x:c r="Y47" s="22" t="n">
        <x:v>0.625</x:v>
      </x:c>
      <x:c r="Z47" s="16" t="n">
        <x:v>42.830357142857146</x:v>
      </x:c>
      <x:c r="AA47" s="16" t="n">
        <x:v>25.913149838396897</x:v>
      </x:c>
      <x:c r="AB47" t="str">
        <x:v>Forward EPS × own 20Q forward-P/E bands</x:v>
      </x:c>
      <x:c r="AC47" t="str">
        <x:v>5Y normalized-FCF DCF</x:v>
      </x:c>
      <x:c r="AD47" t="str">
        <x:v>Market-only fallback</x:v>
      </x:c>
      <x:c r="AE47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  <x:row r="48">
      <x:c r="A48" t="str">
        <x:v>QQQ</x:v>
      </x:c>
      <x:c r="B48" t="str">
        <x:v>TSLA</x:v>
      </x:c>
      <x:c r="C48" t="str">
        <x:v>Tesla</x:v>
      </x:c>
      <x:c r="D48" t="str">
        <x:v>A</x:v>
      </x:c>
      <x:c r="E48" s="16" t="n">
        <x:v>53.81938999999999</x:v>
      </x:c>
      <x:c r="F48" s="16" t="n">
        <x:v>2.3083750000000003</x:v>
      </x:c>
      <x:c r="G48" s="16"/>
      <x:c r="H48" s="16" t="str">
        <x:v>N/A</x:v>
      </x:c>
      <x:c r="I48" s="16" t="n">
        <x:v>0</x:v>
      </x:c>
      <x:c r="J48" s="16"/>
      <x:c r="K48" s="18" t="n">
        <x:v>367.95</x:v>
      </x:c>
      <x:c r="L48" s="18" t="n">
        <x:v>96.55046833773088</x:v>
      </x:c>
      <x:c r="M48" s="18" t="n">
        <x:v>148.46303740493562</x:v>
      </x:c>
      <x:c r="N48" s="18" t="n">
        <x:v>236.70279275958407</x:v>
      </x:c>
      <x:c r="O48" s="18" t="n">
        <x:v>17.15857740092885</x:v>
      </x:c>
      <x:c r="P48" s="18" t="n">
        <x:v>30.968060467509517</x:v>
      </x:c>
      <x:c r="Q48" s="18" t="n">
        <x:v>52.77971019590251</x:v>
      </x:c>
      <x:c r="R48" s="20" t="n">
        <x:v>0.5</x:v>
      </x:c>
      <x:c r="S48" s="20" t="n">
        <x:v>0.5</x:v>
      </x:c>
      <x:c r="T48" s="18" t="n">
        <x:v>56.85452286932986</x:v>
      </x:c>
      <x:c r="U48" s="18" t="n">
        <x:v>89.71554893622258</x:v>
      </x:c>
      <x:c r="V48" s="18" t="n">
        <x:v>144.74125147774328</x:v>
      </x:c>
      <x:c r="W48" s="22" t="n">
        <x:v>-0.8454830197871182</x:v>
      </x:c>
      <x:c r="X48" s="22" t="n">
        <x:v>-0.7561746190074125</x:v>
      </x:c>
      <x:c r="Y48" s="22" t="n">
        <x:v>-0.6066279345624588</x:v>
      </x:c>
      <x:c r="Z48" s="16" t="n">
        <x:v>0</x:v>
      </x:c>
      <x:c r="AA48" s="16" t="n">
        <x:v>19.809799411764704</x:v>
      </x:c>
      <x:c r="AB48" t="str">
        <x:v>Forward EPS × own 20Q forward-P/E bands</x:v>
      </x:c>
      <x:c r="AC48" t="str">
        <x:v>5Y normalized-FCF DCF</x:v>
      </x:c>
      <x:c r="AD48" t="str">
        <x:v>Hybrid 50/50</x:v>
      </x:c>
      <x:c r="AE48" t="str">
        <x:v>QQQ reconstruction retains full 20Q data. Healthcare retains established screening EQ/valuation, annual guidance and company-specific fundamental scenarios; standardized market leg is reconstructed where original historical-ratio file is unavailable in this session.</x:v>
      </x:c>
    </x:row>
  </x:sheetData>
  <x:mergeCells>
    <x:mergeCell ref="A1:AE1"/>
  </x:mergeCells>
  <x:conditionalFormatting sqref="AA4:AA48">
    <x:cfRule type="colorScale" priority="1">
      <x:colorScale>
        <x:cfvo type="min"/>
        <x:cfvo type="percentile" val="50"/>
        <x:cfvo type="max"/>
        <x:color rgb="FFD7B7A3"/>
        <x:color rgb="FFEFE5D2"/>
        <x:color rgb="FFA9C2A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12" hidden="0" customWidth="1"/>
    <x:col min="4" max="4" width="8" hidden="0" customWidth="1"/>
    <x:col min="5" max="5" width="8" hidden="0" customWidth="1"/>
    <x:col min="6" max="6" width="8" hidden="0" customWidth="1"/>
    <x:col min="7" max="7" width="12" hidden="0" customWidth="1"/>
    <x:col min="8" max="8" width="11" hidden="0" customWidth="1"/>
    <x:col min="9" max="9" width="11" hidden="0" customWidth="1"/>
    <x:col min="10" max="10" width="15" hidden="0" customWidth="1"/>
    <x:col min="11" max="11" width="11" hidden="0" customWidth="1"/>
    <x:col min="12" max="12" width="12" hidden="0" customWidth="1"/>
    <x:col min="13" max="13" width="13" hidden="0" customWidth="1"/>
    <x:col min="14" max="14" width="14" hidden="0" customWidth="1"/>
    <x:col min="15" max="15" width="12" hidden="0" customWidth="1"/>
    <x:col min="16" max="16" width="48" hidden="0" customWidth="1"/>
    <x:col min="17" max="17" width="48" hidden="0" customWidth="1"/>
    <x:col min="18" max="18" width="48" hidden="0" customWidth="1"/>
    <x:col min="19" max="19" width="14" hidden="0" customWidth="1"/>
    <x:col min="20" max="20" width="11" hidden="0" customWidth="1"/>
    <x:col min="21" max="21" width="34" hidden="0" customWidth="1"/>
  </x:cols>
  <x:sheetData>
    <x:row r="1">
      <x:c r="A1" s="24" t="str">
        <x:v>News Sentiment, Materiality &amp; Catalyst Risk — Sep. 1, 2026 Snapshot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</x:row>
    <x:row r="3">
      <x:c r="A3" s="9" t="str">
        <x:v>Ticker</x:v>
      </x:c>
      <x:c r="B3" s="9" t="str">
        <x:v>Company</x:v>
      </x:c>
      <x:c r="C3" s="9" t="str">
        <x:v>Universe</x:v>
      </x:c>
      <x:c r="D3" s="9" t="str">
        <x:v>7D</x:v>
      </x:c>
      <x:c r="E3" s="9" t="str">
        <x:v>30D</x:v>
      </x:c>
      <x:c r="F3" s="9" t="str">
        <x:v>90D</x:v>
      </x:c>
      <x:c r="G3" s="9" t="str">
        <x:v>Raw Sentiment</x:v>
      </x:c>
      <x:c r="H3" s="9" t="str">
        <x:v>Confidence</x:v>
      </x:c>
      <x:c r="I3" s="9" t="str">
        <x:v>Confidence Factor</x:v>
      </x:c>
      <x:c r="J3" s="9" t="str">
        <x:v>Adjusted Sentiment</x:v>
      </x:c>
      <x:c r="K3" s="9" t="str">
        <x:v>Momentum</x:v>
      </x:c>
      <x:c r="L3" s="9" t="str">
        <x:v>Materiality</x:v>
      </x:c>
      <x:c r="M3" s="9" t="str">
        <x:v>Materiality Factor</x:v>
      </x:c>
      <x:c r="N3" s="9" t="str">
        <x:v>Centered Overlay</x:v>
      </x:c>
      <x:c r="O3" s="9" t="str">
        <x:v>Catalyst Risk</x:v>
      </x:c>
      <x:c r="P3" s="9" t="str">
        <x:v>Key News / Catalyst</x:v>
      </x:c>
      <x:c r="Q3" s="9" t="str">
        <x:v>Primary Source</x:v>
      </x:c>
      <x:c r="R3" s="9" t="str">
        <x:v>Secondary / Risk Source</x:v>
      </x:c>
      <x:c r="S3" s="9" t="str">
        <x:v>Neutral Impact Check</x:v>
      </x:c>
      <x:c r="T3" s="9" t="str">
        <x:v>Overlay Cap</x:v>
      </x:c>
      <x:c r="U3" s="9" t="str">
        <x:v>Scoring Role</x:v>
      </x:c>
    </x:row>
    <x:row r="4">
      <x:c r="A4" t="str">
        <x:v>REGN</x:v>
      </x:c>
      <x:c r="B4" t="str">
        <x:v>Regeneron</x:v>
      </x:c>
      <x:c r="C4" t="str">
        <x:v>Healthcare</x:v>
      </x:c>
      <x:c r="D4" s="16" t="n">
        <x:v>60</x:v>
      </x:c>
      <x:c r="E4" s="16" t="n">
        <x:v>72</x:v>
      </x:c>
      <x:c r="F4" s="16" t="n">
        <x:v>72</x:v>
      </x:c>
      <x:c r="G4" s="16" t="n">
        <x:f>20%*D4+50%*E4+30%*F4</x:f>
        <x:v>69.6</x:v>
      </x:c>
      <x:c r="H4" t="str">
        <x:v>High</x:v>
      </x:c>
      <x:c r="I4" s="16" t="n">
        <x:f>IF(H4="High",1,IF(H4="Medium",0.85,0.65))</x:f>
        <x:v>1</x:v>
      </x:c>
      <x:c r="J4" s="16" t="n">
        <x:f>50+(G4-50)*I4</x:f>
        <x:v>69.6</x:v>
      </x:c>
      <x:c r="K4" s="16" t="n">
        <x:f>D4-E4</x:f>
        <x:v>-12</x:v>
      </x:c>
      <x:c r="L4" s="16" t="str">
        <x:v>Major</x:v>
      </x:c>
      <x:c r="M4" s="16" t="n">
        <x:f>IF(L4="Major",1,IF(L4="Moderate",0.7,0.3))</x:f>
        <x:v>1</x:v>
      </x:c>
      <x:c r="N4" s="16" t="n">
        <x:f>MAX(-2.5,MIN(2.5,0.05*(J4-50)*M4))</x:f>
        <x:v>0.9799999999999998</x:v>
      </x:c>
      <x:c r="O4" s="16" t="n">
        <x:v>70</x:v>
      </x:c>
      <x:c r="P4" t="str">
        <x:v>Strong Q2 growth; FDA gene-therapy approval / pipeline progress</x:v>
      </x:c>
      <x:c r="Q4" t="str">
        <x:v>https://www.sec.gov/Archives/edgar/data/872589/000087258926000023/exhibit991q22026.htm</x:v>
      </x:c>
      <x:c r="R4" t="str">
        <x:v>https://www.fda.gov/news-events/press-announcements/fda-approves-first-ever-gene-therapy-treatment-genetic-hearing-loss-under-national-priority-voucher</x:v>
      </x:c>
      <x:c r="S4" t="n">
        <x:f>0.05*(50-50)*M4</x:f>
        <x:v>0</x:v>
      </x:c>
      <x:c r="T4" t="n">
        <x:v>2.5</x:v>
      </x:c>
      <x:c r="U4" t="str">
        <x:v>Tactical overlay only; Catalyst Risk is separate.</x:v>
      </x:c>
    </x:row>
    <x:row r="5">
      <x:c r="A5" t="str">
        <x:v>META</x:v>
      </x:c>
      <x:c r="B5" t="str">
        <x:v>Meta Platforms</x:v>
      </x:c>
      <x:c r="C5" t="str">
        <x:v>QQQ</x:v>
      </x:c>
      <x:c r="D5" s="16" t="n">
        <x:v>62</x:v>
      </x:c>
      <x:c r="E5" s="16" t="n">
        <x:v>60</x:v>
      </x:c>
      <x:c r="F5" s="16" t="n">
        <x:v>58</x:v>
      </x:c>
      <x:c r="G5" s="16" t="n">
        <x:f>20%*D5+50%*E5+30%*F5</x:f>
        <x:v>59.8</x:v>
      </x:c>
      <x:c r="H5" t="str">
        <x:v>High</x:v>
      </x:c>
      <x:c r="I5" s="16" t="n">
        <x:f>IF(H5="High",1,IF(H5="Medium",0.85,0.65))</x:f>
        <x:v>1</x:v>
      </x:c>
      <x:c r="J5" s="16" t="n">
        <x:f>50+(G5-50)*I5</x:f>
        <x:v>59.8</x:v>
      </x:c>
      <x:c r="K5" s="16" t="n">
        <x:f>D5-E5</x:f>
        <x:v>2</x:v>
      </x:c>
      <x:c r="L5" s="16" t="str">
        <x:v>Major</x:v>
      </x:c>
      <x:c r="M5" s="16" t="n">
        <x:f>IF(L5="Major",1,IF(L5="Moderate",0.7,0.3))</x:f>
        <x:v>1</x:v>
      </x:c>
      <x:c r="N5" s="16" t="n">
        <x:f>MAX(-2.5,MIN(2.5,0.05*(J5-50)*M5))</x:f>
        <x:v>0.4899999999999999</x:v>
      </x:c>
      <x:c r="O5" s="16" t="n">
        <x:v>65</x:v>
      </x:c>
      <x:c r="P5" t="str">
        <x:v>Large child-safety settlement clears overhang but adds cost; AI/ad optimism</x:v>
      </x:c>
      <x:c r="Q5" t="str">
        <x:v>https://investor.atmeta.com/investor-news/press-release-details/2026/Meta-Reports-Second-Quarter-2026-Results/default.aspx</x:v>
      </x:c>
      <x:c r="R5" t="str">
        <x:v>https://www.ft.com/content/34318a35-b2ad-4f0f-af74-c5d09bfcd23e</x:v>
      </x:c>
      <x:c r="S5" t="n">
        <x:f>0.05*(50-50)*M5</x:f>
        <x:v>0</x:v>
      </x:c>
      <x:c r="T5" t="n">
        <x:v>2.5</x:v>
      </x:c>
      <x:c r="U5" t="str">
        <x:v>Tactical overlay only; Catalyst Risk is separate.</x:v>
      </x:c>
    </x:row>
    <x:row r="6">
      <x:c r="A6" t="str">
        <x:v>SNY</x:v>
      </x:c>
      <x:c r="B6" t="str">
        <x:v>Sanofi</x:v>
      </x:c>
      <x:c r="C6" t="str">
        <x:v>Healthcare</x:v>
      </x:c>
      <x:c r="D6" s="16" t="n">
        <x:v>55</x:v>
      </x:c>
      <x:c r="E6" s="16" t="n">
        <x:v>72</x:v>
      </x:c>
      <x:c r="F6" s="16" t="n">
        <x:v>70</x:v>
      </x:c>
      <x:c r="G6" s="16" t="n">
        <x:f>20%*D6+50%*E6+30%*F6</x:f>
        <x:v>68</x:v>
      </x:c>
      <x:c r="H6" t="str">
        <x:v>Medium</x:v>
      </x:c>
      <x:c r="I6" s="16" t="n">
        <x:f>IF(H6="High",1,IF(H6="Medium",0.85,0.65))</x:f>
        <x:v>0.85</x:v>
      </x:c>
      <x:c r="J6" s="16" t="n">
        <x:f>50+(G6-50)*I6</x:f>
        <x:v>65.3</x:v>
      </x:c>
      <x:c r="K6" s="16" t="n">
        <x:f>D6-E6</x:f>
        <x:v>-17</x:v>
      </x:c>
      <x:c r="L6" s="16" t="str">
        <x:v>Moderate</x:v>
      </x:c>
      <x:c r="M6" s="16" t="n">
        <x:f>IF(L6="Major",1,IF(L6="Moderate",0.7,0.3))</x:f>
        <x:v>0.7</x:v>
      </x:c>
      <x:c r="N6" s="16" t="n">
        <x:f>MAX(-2.5,MIN(2.5,0.05*(J6-50)*M6))</x:f>
        <x:v>0.5354999999999999</x:v>
      </x:c>
      <x:c r="O6" s="16" t="n">
        <x:v>60</x:v>
      </x:c>
      <x:c r="P6" t="str">
        <x:v>Q2 double-digit growth; guidance upgraded; competitive MS read-through</x:v>
      </x:c>
      <x:c r="Q6" t="str">
        <x:v>https://www.sanofi.com/en/media-room/press-releases/2026/2026-07-30-05-30-00-3335767</x:v>
      </x:c>
      <x:c r="R6" t="str"/>
      <x:c r="S6" t="n">
        <x:f>0.05*(50-50)*M6</x:f>
        <x:v>0</x:v>
      </x:c>
      <x:c r="T6" t="n">
        <x:v>2.5</x:v>
      </x:c>
      <x:c r="U6" t="str">
        <x:v>Tactical overlay only; Catalyst Risk is separate.</x:v>
      </x:c>
    </x:row>
    <x:row r="7">
      <x:c r="A7" t="str">
        <x:v>RHHBY</x:v>
      </x:c>
      <x:c r="B7" t="str">
        <x:v>Roche</x:v>
      </x:c>
      <x:c r="C7" t="str">
        <x:v>Healthcare</x:v>
      </x:c>
      <x:c r="D7" s="16" t="n">
        <x:v>75</x:v>
      </x:c>
      <x:c r="E7" s="16" t="n">
        <x:v>72</x:v>
      </x:c>
      <x:c r="F7" s="16" t="n">
        <x:v>72</x:v>
      </x:c>
      <x:c r="G7" s="16" t="n">
        <x:f>20%*D7+50%*E7+30%*F7</x:f>
        <x:v>72.6</x:v>
      </x:c>
      <x:c r="H7" t="str">
        <x:v>High</x:v>
      </x:c>
      <x:c r="I7" s="16" t="n">
        <x:f>IF(H7="High",1,IF(H7="Medium",0.85,0.65))</x:f>
        <x:v>1</x:v>
      </x:c>
      <x:c r="J7" s="16" t="n">
        <x:f>50+(G7-50)*I7</x:f>
        <x:v>72.6</x:v>
      </x:c>
      <x:c r="K7" s="16" t="n">
        <x:f>D7-E7</x:f>
        <x:v>3</x:v>
      </x:c>
      <x:c r="L7" s="16" t="str">
        <x:v>Major</x:v>
      </x:c>
      <x:c r="M7" s="16" t="n">
        <x:f>IF(L7="Major",1,IF(L7="Moderate",0.7,0.3))</x:f>
        <x:v>1</x:v>
      </x:c>
      <x:c r="N7" s="16" t="n">
        <x:f>MAX(-2.5,MIN(2.5,0.05*(J7-50)*M7))</x:f>
        <x:v>1.1299999999999997</x:v>
      </x:c>
      <x:c r="O7" s="16" t="n">
        <x:v>60</x:v>
      </x:c>
      <x:c r="P7" t="str">
        <x:v>Strong H1 CER growth; FDA-cleared Alzheimer blood test</x:v>
      </x:c>
      <x:c r="Q7" t="str">
        <x:v>https://www.roche.com/media/releases/med-cor-2026-07-23</x:v>
      </x:c>
      <x:c r="R7" t="str">
        <x:v>https://diagnostics.roche.com/us/en/news-listing/2026/fda-elecsys-ptau217-alzheimers-blood-test.html</x:v>
      </x:c>
      <x:c r="S7" t="n">
        <x:f>0.05*(50-50)*M7</x:f>
        <x:v>0</x:v>
      </x:c>
      <x:c r="T7" t="n">
        <x:v>2.5</x:v>
      </x:c>
      <x:c r="U7" t="str">
        <x:v>Tactical overlay only; Catalyst Risk is separate.</x:v>
      </x:c>
    </x:row>
    <x:row r="8">
      <x:c r="A8" t="str">
        <x:v>VRTX</x:v>
      </x:c>
      <x:c r="B8" t="str">
        <x:v>Vertex Pharmaceuticals</x:v>
      </x:c>
      <x:c r="C8" t="str">
        <x:v>Healthcare</x:v>
      </x:c>
      <x:c r="D8" s="16" t="n">
        <x:v>60</x:v>
      </x:c>
      <x:c r="E8" s="16" t="n">
        <x:v>82</x:v>
      </x:c>
      <x:c r="F8" s="16" t="n">
        <x:v>84</x:v>
      </x:c>
      <x:c r="G8" s="16" t="n">
        <x:f>20%*D8+50%*E8+30%*F8</x:f>
        <x:v>78.2</x:v>
      </x:c>
      <x:c r="H8" t="str">
        <x:v>High</x:v>
      </x:c>
      <x:c r="I8" s="16" t="n">
        <x:f>IF(H8="High",1,IF(H8="Medium",0.85,0.65))</x:f>
        <x:v>1</x:v>
      </x:c>
      <x:c r="J8" s="16" t="n">
        <x:f>50+(G8-50)*I8</x:f>
        <x:v>78.2</x:v>
      </x:c>
      <x:c r="K8" s="16" t="n">
        <x:f>D8-E8</x:f>
        <x:v>-22</x:v>
      </x:c>
      <x:c r="L8" s="16" t="str">
        <x:v>Major</x:v>
      </x:c>
      <x:c r="M8" s="16" t="n">
        <x:f>IF(L8="Major",1,IF(L8="Moderate",0.7,0.3))</x:f>
        <x:v>1</x:v>
      </x:c>
      <x:c r="N8" s="16" t="n">
        <x:f>MAX(-2.5,MIN(2.5,0.05*(J8-50)*M8))</x:f>
        <x:v>1.4100000000000001</x:v>
      </x:c>
      <x:c r="O8" s="16" t="n">
        <x:v>80</x:v>
      </x:c>
      <x:c r="P8" t="str">
        <x:v>Q2 growth + raised guide; Crinetics acquisition; FDA/BLA progress</x:v>
      </x:c>
      <x:c r="Q8" t="str">
        <x:v>https://news.vrtx.com/news-releases/news-release-details/vertex-reports-second-quarter-2026-financial-results</x:v>
      </x:c>
      <x:c r="R8" t="str"/>
      <x:c r="S8" t="n">
        <x:f>0.05*(50-50)*M8</x:f>
        <x:v>0</x:v>
      </x:c>
      <x:c r="T8" t="n">
        <x:v>2.5</x:v>
      </x:c>
      <x:c r="U8" t="str">
        <x:v>Tactical overlay only; Catalyst Risk is separate.</x:v>
      </x:c>
    </x:row>
    <x:row r="9">
      <x:c r="A9" t="str">
        <x:v>BMY</x:v>
      </x:c>
      <x:c r="B9" t="str">
        <x:v>Bristol Myers Squibb</x:v>
      </x:c>
      <x:c r="C9" t="str">
        <x:v>Healthcare</x:v>
      </x:c>
      <x:c r="D9" s="16" t="n">
        <x:v>35</x:v>
      </x:c>
      <x:c r="E9" s="16" t="n">
        <x:v>58</x:v>
      </x:c>
      <x:c r="F9" s="16" t="n">
        <x:v>60</x:v>
      </x:c>
      <x:c r="G9" s="16" t="n">
        <x:f>20%*D9+50%*E9+30%*F9</x:f>
        <x:v>54</x:v>
      </x:c>
      <x:c r="H9" t="str">
        <x:v>High</x:v>
      </x:c>
      <x:c r="I9" s="16" t="n">
        <x:f>IF(H9="High",1,IF(H9="Medium",0.85,0.65))</x:f>
        <x:v>1</x:v>
      </x:c>
      <x:c r="J9" s="16" t="n">
        <x:f>50+(G9-50)*I9</x:f>
        <x:v>54</x:v>
      </x:c>
      <x:c r="K9" s="16" t="n">
        <x:f>D9-E9</x:f>
        <x:v>-23</x:v>
      </x:c>
      <x:c r="L9" s="16" t="str">
        <x:v>Major</x:v>
      </x:c>
      <x:c r="M9" s="16" t="n">
        <x:f>IF(L9="Major",1,IF(L9="Moderate",0.7,0.3))</x:f>
        <x:v>1</x:v>
      </x:c>
      <x:c r="N9" s="16" t="n">
        <x:f>MAX(-2.5,MIN(2.5,0.05*(J9-50)*M9))</x:f>
        <x:v>0.2</x:v>
      </x:c>
      <x:c r="O9" s="16" t="n">
        <x:v>85</x:v>
      </x:c>
      <x:c r="P9" t="str">
        <x:v>Q2/outlook raised, but autoimmune CAR-T program paused on inflammatory events</x:v>
      </x:c>
      <x:c r="Q9" t="str">
        <x:v>https://www.sec.gov/Archives/edgar/data/14272/000001427226000018/a2026q2ex991-filing.htm</x:v>
      </x:c>
      <x:c r="R9" t="str">
        <x:v>https://www.wsj.com/health/pharma/novartis-pauses-autoimmune-cell-therapy-studies-after-deaths-62113d35</x:v>
      </x:c>
      <x:c r="S9" t="n">
        <x:f>0.05*(50-50)*M9</x:f>
        <x:v>0</x:v>
      </x:c>
      <x:c r="T9" t="n">
        <x:v>2.5</x:v>
      </x:c>
      <x:c r="U9" t="str">
        <x:v>Tactical overlay only; Catalyst Risk is separate.</x:v>
      </x:c>
    </x:row>
    <x:row r="10">
      <x:c r="A10" t="str">
        <x:v>NVDA</x:v>
      </x:c>
      <x:c r="B10" t="str">
        <x:v>NVIDIA</x:v>
      </x:c>
      <x:c r="C10" t="str">
        <x:v>QQQ</x:v>
      </x:c>
      <x:c r="D10" s="16" t="n">
        <x:v>72</x:v>
      </x:c>
      <x:c r="E10" s="16" t="n">
        <x:v>82</x:v>
      </x:c>
      <x:c r="F10" s="16" t="n">
        <x:v>85</x:v>
      </x:c>
      <x:c r="G10" s="16" t="n">
        <x:f>20%*D10+50%*E10+30%*F10</x:f>
        <x:v>80.9</x:v>
      </x:c>
      <x:c r="H10" t="str">
        <x:v>High</x:v>
      </x:c>
      <x:c r="I10" s="16" t="n">
        <x:f>IF(H10="High",1,IF(H10="Medium",0.85,0.65))</x:f>
        <x:v>1</x:v>
      </x:c>
      <x:c r="J10" s="16" t="n">
        <x:f>50+(G10-50)*I10</x:f>
        <x:v>80.9</x:v>
      </x:c>
      <x:c r="K10" s="16" t="n">
        <x:f>D10-E10</x:f>
        <x:v>-10</x:v>
      </x:c>
      <x:c r="L10" s="16" t="str">
        <x:v>Major</x:v>
      </x:c>
      <x:c r="M10" s="16" t="n">
        <x:f>IF(L10="Major",1,IF(L10="Moderate",0.7,0.3))</x:f>
        <x:v>1</x:v>
      </x:c>
      <x:c r="N10" s="16" t="n">
        <x:f>MAX(-2.5,MIN(2.5,0.05*(J10-50)*M10))</x:f>
        <x:v>1.5450000000000004</x:v>
      </x:c>
      <x:c r="O10" s="16" t="n">
        <x:v>65</x:v>
      </x:c>
      <x:c r="P10" t="str">
        <x:v>Huge AI-driven Q2 beat/guide; margin/circular-financing concerns</x:v>
      </x:c>
      <x:c r="Q10" t="str">
        <x:v>https://apnews.com/article/dc8d556e709b50915cca9217a60b1991</x:v>
      </x:c>
      <x:c r="R10" t="str">
        <x:v>https://www.ft.com/</x:v>
      </x:c>
      <x:c r="S10" t="n">
        <x:f>0.05*(50-50)*M10</x:f>
        <x:v>0</x:v>
      </x:c>
      <x:c r="T10" t="n">
        <x:v>2.5</x:v>
      </x:c>
      <x:c r="U10" t="str">
        <x:v>Tactical overlay only; Catalyst Risk is separate.</x:v>
      </x:c>
    </x:row>
    <x:row r="11">
      <x:c r="A11" t="str">
        <x:v>AMGN</x:v>
      </x:c>
      <x:c r="B11" t="str">
        <x:v>Amgen</x:v>
      </x:c>
      <x:c r="C11" t="str">
        <x:v>Healthcare</x:v>
      </x:c>
      <x:c r="D11" s="16" t="n">
        <x:v>55</x:v>
      </x:c>
      <x:c r="E11" s="16" t="n">
        <x:v>68</x:v>
      </x:c>
      <x:c r="F11" s="16" t="n">
        <x:v>70</x:v>
      </x:c>
      <x:c r="G11" s="16" t="n">
        <x:f>20%*D11+50%*E11+30%*F11</x:f>
        <x:v>66</x:v>
      </x:c>
      <x:c r="H11" t="str">
        <x:v>Medium</x:v>
      </x:c>
      <x:c r="I11" s="16" t="n">
        <x:f>IF(H11="High",1,IF(H11="Medium",0.85,0.65))</x:f>
        <x:v>0.85</x:v>
      </x:c>
      <x:c r="J11" s="16" t="n">
        <x:f>50+(G11-50)*I11</x:f>
        <x:v>63.6</x:v>
      </x:c>
      <x:c r="K11" s="16" t="n">
        <x:f>D11-E11</x:f>
        <x:v>-13</x:v>
      </x:c>
      <x:c r="L11" s="16" t="str">
        <x:v>Moderate</x:v>
      </x:c>
      <x:c r="M11" s="16" t="n">
        <x:f>IF(L11="Major",1,IF(L11="Moderate",0.7,0.3))</x:f>
        <x:v>0.7</x:v>
      </x:c>
      <x:c r="N11" s="16" t="n">
        <x:f>MAX(-2.5,MIN(2.5,0.05*(J11-50)*M11))</x:f>
        <x:v>0.4760000000000001</x:v>
      </x:c>
      <x:c r="O11" s="16" t="n">
        <x:v>55</x:v>
      </x:c>
      <x:c r="P11" t="str">
        <x:v>Q2 + positive regulatory momentum; Repatha/Imdylltra</x:v>
      </x:c>
      <x:c r="Q11" t="str">
        <x:v>https://www.amgen.com/newsroom/press-releases</x:v>
      </x:c>
      <x:c r="R11" t="str"/>
      <x:c r="S11" t="n">
        <x:f>0.05*(50-50)*M11</x:f>
        <x:v>0</x:v>
      </x:c>
      <x:c r="T11" t="n">
        <x:v>2.5</x:v>
      </x:c>
      <x:c r="U11" t="str">
        <x:v>Tactical overlay only; Catalyst Risk is separate.</x:v>
      </x:c>
    </x:row>
    <x:row r="12">
      <x:c r="A12" t="str">
        <x:v>TMO</x:v>
      </x:c>
      <x:c r="B12" t="str">
        <x:v>Thermo Fisher Scientific</x:v>
      </x:c>
      <x:c r="C12" t="str">
        <x:v>Healthcare</x:v>
      </x:c>
      <x:c r="D12" s="16" t="n">
        <x:v>45</x:v>
      </x:c>
      <x:c r="E12" s="16" t="n">
        <x:v>68</x:v>
      </x:c>
      <x:c r="F12" s="16" t="n">
        <x:v>70</x:v>
      </x:c>
      <x:c r="G12" s="16" t="n">
        <x:f>20%*D12+50%*E12+30%*F12</x:f>
        <x:v>64</x:v>
      </x:c>
      <x:c r="H12" t="str">
        <x:v>High</x:v>
      </x:c>
      <x:c r="I12" s="16" t="n">
        <x:f>IF(H12="High",1,IF(H12="Medium",0.85,0.65))</x:f>
        <x:v>1</x:v>
      </x:c>
      <x:c r="J12" s="16" t="n">
        <x:f>50+(G12-50)*I12</x:f>
        <x:v>64</x:v>
      </x:c>
      <x:c r="K12" s="16" t="n">
        <x:f>D12-E12</x:f>
        <x:v>-23</x:v>
      </x:c>
      <x:c r="L12" s="16" t="str">
        <x:v>Moderate</x:v>
      </x:c>
      <x:c r="M12" s="16" t="n">
        <x:f>IF(L12="Major",1,IF(L12="Moderate",0.7,0.3))</x:f>
        <x:v>0.7</x:v>
      </x:c>
      <x:c r="N12" s="16" t="n">
        <x:f>MAX(-2.5,MIN(2.5,0.05*(J12-50)*M12))</x:f>
        <x:v>0.49</x:v>
      </x:c>
      <x:c r="O12" s="16" t="n">
        <x:v>40</x:v>
      </x:c>
      <x:c r="P12" t="str">
        <x:v>Q2 growth/organic acceleration; recent share weakness</x:v>
      </x:c>
      <x:c r="Q12" t="str">
        <x:v>https://ir.thermofisher.com/investors/news-events/news/news-details/2026/Thermo-Fisher-Scientific-Reports-Second-Quarter-2026-Results/</x:v>
      </x:c>
      <x:c r="R12" t="str"/>
      <x:c r="S12" t="n">
        <x:f>0.05*(50-50)*M12</x:f>
        <x:v>0</x:v>
      </x:c>
      <x:c r="T12" t="n">
        <x:v>2.5</x:v>
      </x:c>
      <x:c r="U12" t="str">
        <x:v>Tactical overlay only; Catalyst Risk is separate.</x:v>
      </x:c>
    </x:row>
    <x:row r="13">
      <x:c r="A13" t="str">
        <x:v>MSFT</x:v>
      </x:c>
      <x:c r="B13" t="str">
        <x:v>Microsoft</x:v>
      </x:c>
      <x:c r="C13" t="str">
        <x:v>QQQ</x:v>
      </x:c>
      <x:c r="D13" s="16" t="n">
        <x:v>72</x:v>
      </x:c>
      <x:c r="E13" s="16" t="n">
        <x:v>78</x:v>
      </x:c>
      <x:c r="F13" s="16" t="n">
        <x:v>75</x:v>
      </x:c>
      <x:c r="G13" s="16" t="n">
        <x:f>20%*D13+50%*E13+30%*F13</x:f>
        <x:v>75.9</x:v>
      </x:c>
      <x:c r="H13" t="str">
        <x:v>High</x:v>
      </x:c>
      <x:c r="I13" s="16" t="n">
        <x:f>IF(H13="High",1,IF(H13="Medium",0.85,0.65))</x:f>
        <x:v>1</x:v>
      </x:c>
      <x:c r="J13" s="16" t="n">
        <x:f>50+(G13-50)*I13</x:f>
        <x:v>75.9</x:v>
      </x:c>
      <x:c r="K13" s="16" t="n">
        <x:f>D13-E13</x:f>
        <x:v>-6</x:v>
      </x:c>
      <x:c r="L13" s="16" t="str">
        <x:v>Moderate</x:v>
      </x:c>
      <x:c r="M13" s="16" t="n">
        <x:f>IF(L13="Major",1,IF(L13="Moderate",0.7,0.3))</x:f>
        <x:v>0.7</x:v>
      </x:c>
      <x:c r="N13" s="16" t="n">
        <x:f>MAX(-2.5,MIN(2.5,0.05*(J13-50)*M13))</x:f>
        <x:v>0.9065000000000002</x:v>
      </x:c>
      <x:c r="O13" s="16" t="n">
        <x:v>55</x:v>
      </x:c>
      <x:c r="P13" t="str">
        <x:v>AI/cloud confidence returned; disclosure/capex transparency concerns</x:v>
      </x:c>
      <x:c r="Q13" t="str">
        <x:v>https://www.marketwatch.com/story/microsofts-stock-seals-its-longest-winning-streak-of-the-year-as-ai-software-fears-fade-e5669f5b</x:v>
      </x:c>
      <x:c r="R13" t="str"/>
      <x:c r="S13" t="n">
        <x:f>0.05*(50-50)*M13</x:f>
        <x:v>0</x:v>
      </x:c>
      <x:c r="T13" t="n">
        <x:v>2.5</x:v>
      </x:c>
      <x:c r="U13" t="str">
        <x:v>Tactical overlay only; Catalyst Risk is separate.</x:v>
      </x:c>
    </x:row>
    <x:row r="14">
      <x:c r="A14" t="str">
        <x:v>ABT</x:v>
      </x:c>
      <x:c r="B14" t="str">
        <x:v>Abbott Laboratories</x:v>
      </x:c>
      <x:c r="C14" t="str">
        <x:v>Healthcare</x:v>
      </x:c>
      <x:c r="D14" s="16" t="n">
        <x:v>55</x:v>
      </x:c>
      <x:c r="E14" s="16" t="n">
        <x:v>72</x:v>
      </x:c>
      <x:c r="F14" s="16" t="n">
        <x:v>70</x:v>
      </x:c>
      <x:c r="G14" s="16" t="n">
        <x:f>20%*D14+50%*E14+30%*F14</x:f>
        <x:v>68</x:v>
      </x:c>
      <x:c r="H14" t="str">
        <x:v>High</x:v>
      </x:c>
      <x:c r="I14" s="16" t="n">
        <x:f>IF(H14="High",1,IF(H14="Medium",0.85,0.65))</x:f>
        <x:v>1</x:v>
      </x:c>
      <x:c r="J14" s="16" t="n">
        <x:f>50+(G14-50)*I14</x:f>
        <x:v>68</x:v>
      </x:c>
      <x:c r="K14" s="16" t="n">
        <x:f>D14-E14</x:f>
        <x:v>-17</x:v>
      </x:c>
      <x:c r="L14" s="16" t="str">
        <x:v>Moderate</x:v>
      </x:c>
      <x:c r="M14" s="16" t="n">
        <x:f>IF(L14="Major",1,IF(L14="Moderate",0.7,0.3))</x:f>
        <x:v>0.7</x:v>
      </x:c>
      <x:c r="N14" s="16" t="n">
        <x:f>MAX(-2.5,MIN(2.5,0.05*(J14-50)*M14))</x:f>
        <x:v>0.63</x:v>
      </x:c>
      <x:c r="O14" s="16" t="n">
        <x:v>45</x:v>
      </x:c>
      <x:c r="P14" t="str">
        <x:v>Q2 growth and EPS guide raised</x:v>
      </x:c>
      <x:c r="Q14" t="str">
        <x:v>https://abbott.mediaroom.com/2026-07-16-Abbott-Reports-Second-Quarter-2026-Results-and-Raises-Full-Year-EPS-Guidance</x:v>
      </x:c>
      <x:c r="R14" t="str"/>
      <x:c r="S14" t="n">
        <x:f>0.05*(50-50)*M14</x:f>
        <x:v>0</x:v>
      </x:c>
      <x:c r="T14" t="n">
        <x:v>2.5</x:v>
      </x:c>
      <x:c r="U14" t="str">
        <x:v>Tactical overlay only; Catalyst Risk is separate.</x:v>
      </x:c>
    </x:row>
    <x:row r="15">
      <x:c r="A15" t="str">
        <x:v>ABBV</x:v>
      </x:c>
      <x:c r="B15" t="str">
        <x:v>AbbVie</x:v>
      </x:c>
      <x:c r="C15" t="str">
        <x:v>Healthcare</x:v>
      </x:c>
      <x:c r="D15" s="16" t="n">
        <x:v>52</x:v>
      </x:c>
      <x:c r="E15" s="16" t="n">
        <x:v>72</x:v>
      </x:c>
      <x:c r="F15" s="16" t="n">
        <x:v>74</x:v>
      </x:c>
      <x:c r="G15" s="16" t="n">
        <x:f>20%*D15+50%*E15+30%*F15</x:f>
        <x:v>68.6</x:v>
      </x:c>
      <x:c r="H15" t="str">
        <x:v>High</x:v>
      </x:c>
      <x:c r="I15" s="16" t="n">
        <x:f>IF(H15="High",1,IF(H15="Medium",0.85,0.65))</x:f>
        <x:v>1</x:v>
      </x:c>
      <x:c r="J15" s="16" t="n">
        <x:f>50+(G15-50)*I15</x:f>
        <x:v>68.6</x:v>
      </x:c>
      <x:c r="K15" s="16" t="n">
        <x:f>D15-E15</x:f>
        <x:v>-20</x:v>
      </x:c>
      <x:c r="L15" s="16" t="str">
        <x:v>Moderate</x:v>
      </x:c>
      <x:c r="M15" s="16" t="n">
        <x:f>IF(L15="Major",1,IF(L15="Moderate",0.7,0.3))</x:f>
        <x:v>0.7</x:v>
      </x:c>
      <x:c r="N15" s="16" t="n">
        <x:f>MAX(-2.5,MIN(2.5,0.05*(J15-50)*M15))</x:f>
        <x:v>0.6509999999999998</x:v>
      </x:c>
      <x:c r="O15" s="16" t="n">
        <x:v>70</x:v>
      </x:c>
      <x:c r="P15" t="str">
        <x:v>Strong Q2 growth; Apogee acquisition; minor guide dilution</x:v>
      </x:c>
      <x:c r="Q15" t="str">
        <x:v>https://news.abbvie.com/2026-07-31-AbbVie-Reports-Second-Quarter-2026-Financial-Results</x:v>
      </x:c>
      <x:c r="R15" t="str"/>
      <x:c r="S15" t="n">
        <x:f>0.05*(50-50)*M15</x:f>
        <x:v>0</x:v>
      </x:c>
      <x:c r="T15" t="n">
        <x:v>2.5</x:v>
      </x:c>
      <x:c r="U15" t="str">
        <x:v>Tactical overlay only; Catalyst Risk is separate.</x:v>
      </x:c>
    </x:row>
    <x:row r="16">
      <x:c r="A16" t="str">
        <x:v>GSK</x:v>
      </x:c>
      <x:c r="B16" t="str">
        <x:v>GSK</x:v>
      </x:c>
      <x:c r="C16" t="str">
        <x:v>Healthcare</x:v>
      </x:c>
      <x:c r="D16" s="16" t="n">
        <x:v>50</x:v>
      </x:c>
      <x:c r="E16" s="16" t="n">
        <x:v>68</x:v>
      </x:c>
      <x:c r="F16" s="16" t="n">
        <x:v>70</x:v>
      </x:c>
      <x:c r="G16" s="16" t="n">
        <x:f>20%*D16+50%*E16+30%*F16</x:f>
        <x:v>65</x:v>
      </x:c>
      <x:c r="H16" t="str">
        <x:v>High</x:v>
      </x:c>
      <x:c r="I16" s="16" t="n">
        <x:f>IF(H16="High",1,IF(H16="Medium",0.85,0.65))</x:f>
        <x:v>1</x:v>
      </x:c>
      <x:c r="J16" s="16" t="n">
        <x:f>50+(G16-50)*I16</x:f>
        <x:v>65</x:v>
      </x:c>
      <x:c r="K16" s="16" t="n">
        <x:f>D16-E16</x:f>
        <x:v>-18</x:v>
      </x:c>
      <x:c r="L16" s="16" t="str">
        <x:v>Moderate</x:v>
      </x:c>
      <x:c r="M16" s="16" t="n">
        <x:f>IF(L16="Major",1,IF(L16="Moderate",0.7,0.3))</x:f>
        <x:v>0.7</x:v>
      </x:c>
      <x:c r="N16" s="16" t="n">
        <x:f>MAX(-2.5,MIN(2.5,0.05*(J16-50)*M16))</x:f>
        <x:v>0.5249999999999999</x:v>
      </x:c>
      <x:c r="O16" s="16" t="n">
        <x:v>70</x:v>
      </x:c>
      <x:c r="P16" t="str">
        <x:v>Strong core Q2; 20+ Phase III starts; GAAP impairment</x:v>
      </x:c>
      <x:c r="Q16" t="str">
        <x:v>https://www.gsk.com/en-gb/media/press-releases/gsk-delivers-strong-q2-core-results-performance-and-continued-momentum/</x:v>
      </x:c>
      <x:c r="R16" t="str"/>
      <x:c r="S16" t="n">
        <x:f>0.05*(50-50)*M16</x:f>
        <x:v>0</x:v>
      </x:c>
      <x:c r="T16" t="n">
        <x:v>2.5</x:v>
      </x:c>
      <x:c r="U16" t="str">
        <x:v>Tactical overlay only; Catalyst Risk is separate.</x:v>
      </x:c>
    </x:row>
    <x:row r="17">
      <x:c r="A17" t="str">
        <x:v>NVS</x:v>
      </x:c>
      <x:c r="B17" t="str">
        <x:v>Novartis</x:v>
      </x:c>
      <x:c r="C17" t="str">
        <x:v>Healthcare</x:v>
      </x:c>
      <x:c r="D17" s="16" t="n">
        <x:v>50</x:v>
      </x:c>
      <x:c r="E17" s="16" t="n">
        <x:v>60</x:v>
      </x:c>
      <x:c r="F17" s="16" t="n">
        <x:v>68</x:v>
      </x:c>
      <x:c r="G17" s="16" t="n">
        <x:f>20%*D17+50%*E17+30%*F17</x:f>
        <x:v>60.4</x:v>
      </x:c>
      <x:c r="H17" t="str">
        <x:v>High</x:v>
      </x:c>
      <x:c r="I17" s="16" t="n">
        <x:f>IF(H17="High",1,IF(H17="Medium",0.85,0.65))</x:f>
        <x:v>1</x:v>
      </x:c>
      <x:c r="J17" s="16" t="n">
        <x:f>50+(G17-50)*I17</x:f>
        <x:v>60.4</x:v>
      </x:c>
      <x:c r="K17" s="16" t="n">
        <x:f>D17-E17</x:f>
        <x:v>-10</x:v>
      </x:c>
      <x:c r="L17" s="16" t="str">
        <x:v>Major</x:v>
      </x:c>
      <x:c r="M17" s="16" t="n">
        <x:f>IF(L17="Major",1,IF(L17="Moderate",0.7,0.3))</x:f>
        <x:v>1</x:v>
      </x:c>
      <x:c r="N17" s="16" t="n">
        <x:f>MAX(-2.5,MIN(2.5,0.05*(J17-50)*M17))</x:f>
        <x:v>0.5199999999999999</x:v>
      </x:c>
      <x:c r="O17" s="16" t="n">
        <x:v>90</x:v>
      </x:c>
      <x:c r="P17" t="str">
        <x:v>Strong MS Phase 3 result offset by CAR-T safety trial pause</x:v>
      </x:c>
      <x:c r="Q17" t="str">
        <x:v>https://www.investopedia.com/market-update-novartis-reported-encouraging-trial-data-for-a-multiple-sclerosis-drug-the-stock-is-jumping-nvs-12075171</x:v>
      </x:c>
      <x:c r="R17" t="str">
        <x:v>https://www.wsj.com/health/pharma/novartis-pauses-autoimmune-cell-therapy-studies-after-deaths-62113d35</x:v>
      </x:c>
      <x:c r="S17" t="n">
        <x:f>0.05*(50-50)*M17</x:f>
        <x:v>0</x:v>
      </x:c>
      <x:c r="T17" t="n">
        <x:v>2.5</x:v>
      </x:c>
      <x:c r="U17" t="str">
        <x:v>Tactical overlay only; Catalyst Risk is separate.</x:v>
      </x:c>
    </x:row>
    <x:row r="18">
      <x:c r="A18" t="str">
        <x:v>PFE</x:v>
      </x:c>
      <x:c r="B18" t="str">
        <x:v>Pfizer</x:v>
      </x:c>
      <x:c r="C18" t="str">
        <x:v>Healthcare</x:v>
      </x:c>
      <x:c r="D18" s="16" t="n">
        <x:v>50</x:v>
      </x:c>
      <x:c r="E18" s="16" t="n">
        <x:v>58</x:v>
      </x:c>
      <x:c r="F18" s="16" t="n">
        <x:v>60</x:v>
      </x:c>
      <x:c r="G18" s="16" t="n">
        <x:f>20%*D18+50%*E18+30%*F18</x:f>
        <x:v>57</x:v>
      </x:c>
      <x:c r="H18" t="str">
        <x:v>Medium</x:v>
      </x:c>
      <x:c r="I18" s="16" t="n">
        <x:f>IF(H18="High",1,IF(H18="Medium",0.85,0.65))</x:f>
        <x:v>0.85</x:v>
      </x:c>
      <x:c r="J18" s="16" t="n">
        <x:f>50+(G18-50)*I18</x:f>
        <x:v>55.95</x:v>
      </x:c>
      <x:c r="K18" s="16" t="n">
        <x:f>D18-E18</x:f>
        <x:v>-8</x:v>
      </x:c>
      <x:c r="L18" s="16" t="str">
        <x:v>Moderate</x:v>
      </x:c>
      <x:c r="M18" s="16" t="n">
        <x:f>IF(L18="Major",1,IF(L18="Moderate",0.7,0.3))</x:f>
        <x:v>0.7</x:v>
      </x:c>
      <x:c r="N18" s="16" t="n">
        <x:f>MAX(-2.5,MIN(2.5,0.05*(J18-50)*M18))</x:f>
        <x:v>0.2082500000000001</x:v>
      </x:c>
      <x:c r="O18" s="16" t="n">
        <x:v>45</x:v>
      </x:c>
      <x:c r="P18" t="str">
        <x:v>2026 guide reaffirmed; limited new near-term catalyst</x:v>
      </x:c>
      <x:c r="Q18" t="str">
        <x:v>https://www.sec.gov/Archives/edgar/data/78003/000007800326000087/pfe-20260618.htm</x:v>
      </x:c>
      <x:c r="R18" t="str"/>
      <x:c r="S18" t="n">
        <x:f>0.05*(50-50)*M18</x:f>
        <x:v>0</x:v>
      </x:c>
      <x:c r="T18" t="n">
        <x:v>2.5</x:v>
      </x:c>
      <x:c r="U18" t="str">
        <x:v>Tactical overlay only; Catalyst Risk is separate.</x:v>
      </x:c>
    </x:row>
    <x:row r="19">
      <x:c r="A19" t="str">
        <x:v>MRK</x:v>
      </x:c>
      <x:c r="B19" t="str">
        <x:v>Merck</x:v>
      </x:c>
      <x:c r="C19" t="str">
        <x:v>Healthcare</x:v>
      </x:c>
      <x:c r="D19" s="16" t="n">
        <x:v>65</x:v>
      </x:c>
      <x:c r="E19" s="16" t="n">
        <x:v>78</x:v>
      </x:c>
      <x:c r="F19" s="16" t="n">
        <x:v>76</x:v>
      </x:c>
      <x:c r="G19" s="16" t="n">
        <x:f>20%*D19+50%*E19+30%*F19</x:f>
        <x:v>74.8</x:v>
      </x:c>
      <x:c r="H19" t="str">
        <x:v>High</x:v>
      </x:c>
      <x:c r="I19" s="16" t="n">
        <x:f>IF(H19="High",1,IF(H19="Medium",0.85,0.65))</x:f>
        <x:v>1</x:v>
      </x:c>
      <x:c r="J19" s="16" t="n">
        <x:f>50+(G19-50)*I19</x:f>
        <x:v>74.8</x:v>
      </x:c>
      <x:c r="K19" s="16" t="n">
        <x:f>D19-E19</x:f>
        <x:v>-13</x:v>
      </x:c>
      <x:c r="L19" s="16" t="str">
        <x:v>Major</x:v>
      </x:c>
      <x:c r="M19" s="16" t="n">
        <x:f>IF(L19="Major",1,IF(L19="Moderate",0.7,0.3))</x:f>
        <x:v>1</x:v>
      </x:c>
      <x:c r="N19" s="16" t="n">
        <x:f>MAX(-2.5,MIN(2.5,0.05*(J19-50)*M19))</x:f>
        <x:v>1.24</x:v>
      </x:c>
      <x:c r="O19" s="16" t="n">
        <x:v>75</x:v>
      </x:c>
      <x:c r="P19" t="str">
        <x:v>Positive Phase 3 melanoma + FDA acceptance + Q2 milestones</x:v>
      </x:c>
      <x:c r="Q19" t="str">
        <x:v>https://www.merck.com/investor-relations/</x:v>
      </x:c>
      <x:c r="R19" t="str"/>
      <x:c r="S19" t="n">
        <x:f>0.05*(50-50)*M19</x:f>
        <x:v>0</x:v>
      </x:c>
      <x:c r="T19" t="n">
        <x:v>2.5</x:v>
      </x:c>
      <x:c r="U19" t="str">
        <x:v>Tactical overlay only; Catalyst Risk is separate.</x:v>
      </x:c>
    </x:row>
    <x:row r="20">
      <x:c r="A20" t="str">
        <x:v>LLY</x:v>
      </x:c>
      <x:c r="B20" t="str">
        <x:v>Eli Lilly</x:v>
      </x:c>
      <x:c r="C20" t="str">
        <x:v>Healthcare</x:v>
      </x:c>
      <x:c r="D20" s="16" t="n">
        <x:v>70</x:v>
      </x:c>
      <x:c r="E20" s="16" t="n">
        <x:v>78</x:v>
      </x:c>
      <x:c r="F20" s="16" t="n">
        <x:v>82</x:v>
      </x:c>
      <x:c r="G20" s="16" t="n">
        <x:f>20%*D20+50%*E20+30%*F20</x:f>
        <x:v>77.6</x:v>
      </x:c>
      <x:c r="H20" t="str">
        <x:v>High</x:v>
      </x:c>
      <x:c r="I20" s="16" t="n">
        <x:f>IF(H20="High",1,IF(H20="Medium",0.85,0.65))</x:f>
        <x:v>1</x:v>
      </x:c>
      <x:c r="J20" s="16" t="n">
        <x:f>50+(G20-50)*I20</x:f>
        <x:v>77.6</x:v>
      </x:c>
      <x:c r="K20" s="16" t="n">
        <x:f>D20-E20</x:f>
        <x:v>-8</x:v>
      </x:c>
      <x:c r="L20" s="16" t="str">
        <x:v>Major</x:v>
      </x:c>
      <x:c r="M20" s="16" t="n">
        <x:f>IF(L20="Major",1,IF(L20="Moderate",0.7,0.3))</x:f>
        <x:v>1</x:v>
      </x:c>
      <x:c r="N20" s="16" t="n">
        <x:f>MAX(-2.5,MIN(2.5,0.05*(J20-50)*M20))</x:f>
        <x:v>1.38</x:v>
      </x:c>
      <x:c r="O20" s="16" t="n">
        <x:v>70</x:v>
      </x:c>
      <x:c r="P20" t="str">
        <x:v>Pipeline M&amp;A expands immunology; core obesity franchise remains strong</x:v>
      </x:c>
      <x:c r="Q20" t="str">
        <x:v>https://www.barrons.com/articles/eli-lilly-stock-merida-biosciences-acquisition-3757be2f</x:v>
      </x:c>
      <x:c r="R20" t="str"/>
      <x:c r="S20" t="n">
        <x:f>0.05*(50-50)*M20</x:f>
        <x:v>0</x:v>
      </x:c>
      <x:c r="T20" t="n">
        <x:v>2.5</x:v>
      </x:c>
      <x:c r="U20" t="str">
        <x:v>Tactical overlay only; Catalyst Risk is separate.</x:v>
      </x:c>
    </x:row>
    <x:row r="21">
      <x:c r="A21" t="str">
        <x:v>JNJ</x:v>
      </x:c>
      <x:c r="B21" t="str">
        <x:v>Johnson &amp; Johnson</x:v>
      </x:c>
      <x:c r="C21" t="str">
        <x:v>Healthcare</x:v>
      </x:c>
      <x:c r="D21" s="16" t="n">
        <x:v>60</x:v>
      </x:c>
      <x:c r="E21" s="16" t="n">
        <x:v>78</x:v>
      </x:c>
      <x:c r="F21" s="16" t="n">
        <x:v>80</x:v>
      </x:c>
      <x:c r="G21" s="16" t="n">
        <x:f>20%*D21+50%*E21+30%*F21</x:f>
        <x:v>75</x:v>
      </x:c>
      <x:c r="H21" t="str">
        <x:v>High</x:v>
      </x:c>
      <x:c r="I21" s="16" t="n">
        <x:f>IF(H21="High",1,IF(H21="Medium",0.85,0.65))</x:f>
        <x:v>1</x:v>
      </x:c>
      <x:c r="J21" s="16" t="n">
        <x:f>50+(G21-50)*I21</x:f>
        <x:v>75</x:v>
      </x:c>
      <x:c r="K21" s="16" t="n">
        <x:f>D21-E21</x:f>
        <x:v>-18</x:v>
      </x:c>
      <x:c r="L21" s="16" t="str">
        <x:v>Major</x:v>
      </x:c>
      <x:c r="M21" s="16" t="n">
        <x:f>IF(L21="Major",1,IF(L21="Moderate",0.7,0.3))</x:f>
        <x:v>1</x:v>
      </x:c>
      <x:c r="N21" s="16" t="n">
        <x:f>MAX(-2.5,MIN(2.5,0.05*(J21-50)*M21))</x:f>
        <x:v>1.25</x:v>
      </x:c>
      <x:c r="O21" s="16" t="n">
        <x:v>75</x:v>
      </x:c>
      <x:c r="P21" t="str">
        <x:v>Raised outlook; approvals; talc-resolution progress</x:v>
      </x:c>
      <x:c r="Q21" t="str">
        <x:v>https://investor.jnj.com/investor-news/default.aspx</x:v>
      </x:c>
      <x:c r="R21" t="str"/>
      <x:c r="S21" t="n">
        <x:f>0.05*(50-50)*M21</x:f>
        <x:v>0</x:v>
      </x:c>
      <x:c r="T21" t="n">
        <x:v>2.5</x:v>
      </x:c>
      <x:c r="U21" t="str">
        <x:v>Tactical overlay only; Catalyst Risk is separate.</x:v>
      </x:c>
    </x:row>
    <x:row r="22">
      <x:c r="A22" t="str">
        <x:v>AZN</x:v>
      </x:c>
      <x:c r="B22" t="str">
        <x:v>AstraZeneca</x:v>
      </x:c>
      <x:c r="C22" t="str">
        <x:v>Healthcare</x:v>
      </x:c>
      <x:c r="D22" s="16" t="n">
        <x:v>60</x:v>
      </x:c>
      <x:c r="E22" s="16" t="n">
        <x:v>78</x:v>
      </x:c>
      <x:c r="F22" s="16" t="n">
        <x:v>78</x:v>
      </x:c>
      <x:c r="G22" s="16" t="n">
        <x:f>20%*D22+50%*E22+30%*F22</x:f>
        <x:v>74.4</x:v>
      </x:c>
      <x:c r="H22" t="str">
        <x:v>High</x:v>
      </x:c>
      <x:c r="I22" s="16" t="n">
        <x:f>IF(H22="High",1,IF(H22="Medium",0.85,0.65))</x:f>
        <x:v>1</x:v>
      </x:c>
      <x:c r="J22" s="16" t="n">
        <x:f>50+(G22-50)*I22</x:f>
        <x:v>74.4</x:v>
      </x:c>
      <x:c r="K22" s="16" t="n">
        <x:f>D22-E22</x:f>
        <x:v>-18</x:v>
      </x:c>
      <x:c r="L22" s="16" t="str">
        <x:v>Moderate</x:v>
      </x:c>
      <x:c r="M22" s="16" t="n">
        <x:f>IF(L22="Major",1,IF(L22="Moderate",0.7,0.3))</x:f>
        <x:v>0.7</x:v>
      </x:c>
      <x:c r="N22" s="16" t="n">
        <x:f>MAX(-2.5,MIN(2.5,0.05*(J22-50)*M22))</x:f>
        <x:v>0.8540000000000002</x:v>
      </x:c>
      <x:c r="O22" s="16" t="n">
        <x:v>70</x:v>
      </x:c>
      <x:c r="P22" t="str">
        <x:v>Strong oncology/rare disease results; outlook maintained</x:v>
      </x:c>
      <x:c r="Q22" t="str">
        <x:v>https://uk.finance.yahoo.com/quote/AZN/</x:v>
      </x:c>
      <x:c r="R22" t="str"/>
      <x:c r="S22" t="n">
        <x:f>0.05*(50-50)*M22</x:f>
        <x:v>0</x:v>
      </x:c>
      <x:c r="T22" t="n">
        <x:v>2.5</x:v>
      </x:c>
      <x:c r="U22" t="str">
        <x:v>Tactical overlay only; Catalyst Risk is separate.</x:v>
      </x:c>
    </x:row>
    <x:row r="23">
      <x:c r="A23" t="str">
        <x:v>A</x:v>
      </x:c>
      <x:c r="B23" t="str">
        <x:v>Agilent Technologies</x:v>
      </x:c>
      <x:c r="C23" t="str">
        <x:v>Healthcare</x:v>
      </x:c>
      <x:c r="D23" s="16" t="n">
        <x:v>70</x:v>
      </x:c>
      <x:c r="E23" s="16" t="n">
        <x:v>78</x:v>
      </x:c>
      <x:c r="F23" s="16" t="n">
        <x:v>72</x:v>
      </x:c>
      <x:c r="G23" s="16" t="n">
        <x:f>20%*D23+50%*E23+30%*F23</x:f>
        <x:v>74.6</x:v>
      </x:c>
      <x:c r="H23" t="str">
        <x:v>High</x:v>
      </x:c>
      <x:c r="I23" s="16" t="n">
        <x:f>IF(H23="High",1,IF(H23="Medium",0.85,0.65))</x:f>
        <x:v>1</x:v>
      </x:c>
      <x:c r="J23" s="16" t="n">
        <x:f>50+(G23-50)*I23</x:f>
        <x:v>74.6</x:v>
      </x:c>
      <x:c r="K23" s="16" t="n">
        <x:f>D23-E23</x:f>
        <x:v>-8</x:v>
      </x:c>
      <x:c r="L23" s="16" t="str">
        <x:v>Moderate</x:v>
      </x:c>
      <x:c r="M23" s="16" t="n">
        <x:f>IF(L23="Major",1,IF(L23="Moderate",0.7,0.3))</x:f>
        <x:v>0.7</x:v>
      </x:c>
      <x:c r="N23" s="16" t="n">
        <x:f>MAX(-2.5,MIN(2.5,0.05*(J23-50)*M23))</x:f>
        <x:v>0.8609999999999998</x:v>
      </x:c>
      <x:c r="O23" s="16" t="n">
        <x:v>55</x:v>
      </x:c>
      <x:c r="P23" t="str">
        <x:v>FDA/EU wins + Q3 beat + AI/science collaboration</x:v>
      </x:c>
      <x:c r="Q23" t="str">
        <x:v>https://www.investor.agilent.com/news-and-events/news/default.aspx</x:v>
      </x:c>
      <x:c r="R23" t="str"/>
      <x:c r="S23" t="n">
        <x:f>0.05*(50-50)*M23</x:f>
        <x:v>0</x:v>
      </x:c>
      <x:c r="T23" t="n">
        <x:v>2.5</x:v>
      </x:c>
      <x:c r="U23" t="str">
        <x:v>Tactical overlay only; Catalyst Risk is separate.</x:v>
      </x:c>
    </x:row>
    <x:row r="24">
      <x:c r="A24" t="str">
        <x:v>GILD</x:v>
      </x:c>
      <x:c r="B24" t="str">
        <x:v>Gilead Sciences</x:v>
      </x:c>
      <x:c r="C24" t="str">
        <x:v>Healthcare</x:v>
      </x:c>
      <x:c r="D24" s="16" t="n">
        <x:v>60</x:v>
      </x:c>
      <x:c r="E24" s="16" t="n">
        <x:v>78</x:v>
      </x:c>
      <x:c r="F24" s="16" t="n">
        <x:v>80</x:v>
      </x:c>
      <x:c r="G24" s="16" t="n">
        <x:f>20%*D24+50%*E24+30%*F24</x:f>
        <x:v>75</x:v>
      </x:c>
      <x:c r="H24" t="str">
        <x:v>High</x:v>
      </x:c>
      <x:c r="I24" s="16" t="n">
        <x:f>IF(H24="High",1,IF(H24="Medium",0.85,0.65))</x:f>
        <x:v>1</x:v>
      </x:c>
      <x:c r="J24" s="16" t="n">
        <x:f>50+(G24-50)*I24</x:f>
        <x:v>75</x:v>
      </x:c>
      <x:c r="K24" s="16" t="n">
        <x:f>D24-E24</x:f>
        <x:v>-18</x:v>
      </x:c>
      <x:c r="L24" s="16" t="str">
        <x:v>Major</x:v>
      </x:c>
      <x:c r="M24" s="16" t="n">
        <x:f>IF(L24="Major",1,IF(L24="Moderate",0.7,0.3))</x:f>
        <x:v>1</x:v>
      </x:c>
      <x:c r="N24" s="16" t="n">
        <x:f>MAX(-2.5,MIN(2.5,0.05*(J24-50)*M24))</x:f>
        <x:v>1.25</x:v>
      </x:c>
      <x:c r="O24" s="16" t="n">
        <x:v>70</x:v>
      </x:c>
      <x:c r="P24" t="str">
        <x:v>Q2 strong; HIV + FDA approvals + Phase 3 progress</x:v>
      </x:c>
      <x:c r="Q24" t="str">
        <x:v>https://investors.gilead.com/news/news-details/2026/Gilead-Sciences-Announces-Second-Quarter-2026-Financial-Results/default.aspx</x:v>
      </x:c>
      <x:c r="R24" t="str"/>
      <x:c r="S24" t="n">
        <x:f>0.05*(50-50)*M24</x:f>
        <x:v>0</x:v>
      </x:c>
      <x:c r="T24" t="n">
        <x:v>2.5</x:v>
      </x:c>
      <x:c r="U24" t="str">
        <x:v>Tactical overlay only; Catalyst Risk is separate.</x:v>
      </x:c>
    </x:row>
    <x:row r="25">
      <x:c r="A25" t="str">
        <x:v>NVO</x:v>
      </x:c>
      <x:c r="B25" t="str">
        <x:v>Novo Nordisk</x:v>
      </x:c>
      <x:c r="C25" t="str">
        <x:v>Healthcare</x:v>
      </x:c>
      <x:c r="D25" s="16" t="n">
        <x:v>25</x:v>
      </x:c>
      <x:c r="E25" s="16" t="n">
        <x:v>28</x:v>
      </x:c>
      <x:c r="F25" s="16" t="n">
        <x:v>32</x:v>
      </x:c>
      <x:c r="G25" s="16" t="n">
        <x:f>20%*D25+50%*E25+30%*F25</x:f>
        <x:v>28.6</x:v>
      </x:c>
      <x:c r="H25" t="str">
        <x:v>High</x:v>
      </x:c>
      <x:c r="I25" s="16" t="n">
        <x:f>IF(H25="High",1,IF(H25="Medium",0.85,0.65))</x:f>
        <x:v>1</x:v>
      </x:c>
      <x:c r="J25" s="16" t="n">
        <x:f>50+(G25-50)*I25</x:f>
        <x:v>28.6</x:v>
      </x:c>
      <x:c r="K25" s="16" t="n">
        <x:f>D25-E25</x:f>
        <x:v>-3</x:v>
      </x:c>
      <x:c r="L25" s="16" t="str">
        <x:v>Major</x:v>
      </x:c>
      <x:c r="M25" s="16" t="n">
        <x:f>IF(L25="Major",1,IF(L25="Moderate",0.7,0.3))</x:f>
        <x:v>1</x:v>
      </x:c>
      <x:c r="N25" s="16" t="n">
        <x:f>MAX(-2.5,MIN(2.5,0.05*(J25-50)*M25))</x:f>
        <x:v>-1.07</x:v>
      </x:c>
      <x:c r="O25" s="16" t="n">
        <x:v>85</x:v>
      </x:c>
      <x:c r="P25" t="str">
        <x:v>Sell downgrade, obesity competition/pricing pressure, late-stage trial failure</x:v>
      </x:c>
      <x:c r="Q25" t="str">
        <x:v>https://www.wsj.com/health/pharma/novo-nordisk-shares-drop-as-bank-downgrade-reflects-growth-concerns-8939d3f8</x:v>
      </x:c>
      <x:c r="R25" t="str"/>
      <x:c r="S25" t="n">
        <x:f>0.05*(50-50)*M25</x:f>
        <x:v>0</x:v>
      </x:c>
      <x:c r="T25" t="n">
        <x:v>2.5</x:v>
      </x:c>
      <x:c r="U25" t="str">
        <x:v>Tactical overlay only; Catalyst Risk is separate.</x:v>
      </x:c>
    </x:row>
    <x:row r="26">
      <x:c r="A26" t="str">
        <x:v>AMZN</x:v>
      </x:c>
      <x:c r="B26" t="str">
        <x:v>Amazon</x:v>
      </x:c>
      <x:c r="C26" t="str">
        <x:v>QQQ</x:v>
      </x:c>
      <x:c r="D26" s="16" t="n">
        <x:v>35</x:v>
      </x:c>
      <x:c r="E26" s="16" t="n">
        <x:v>60</x:v>
      </x:c>
      <x:c r="F26" s="16" t="n">
        <x:v>72</x:v>
      </x:c>
      <x:c r="G26" s="16" t="n">
        <x:f>20%*D26+50%*E26+30%*F26</x:f>
        <x:v>58.599999999999994</x:v>
      </x:c>
      <x:c r="H26" t="str">
        <x:v>High</x:v>
      </x:c>
      <x:c r="I26" s="16" t="n">
        <x:f>IF(H26="High",1,IF(H26="Medium",0.85,0.65))</x:f>
        <x:v>1</x:v>
      </x:c>
      <x:c r="J26" s="16" t="n">
        <x:f>50+(G26-50)*I26</x:f>
        <x:v>58.599999999999994</x:v>
      </x:c>
      <x:c r="K26" s="16" t="n">
        <x:f>D26-E26</x:f>
        <x:v>-25</x:v>
      </x:c>
      <x:c r="L26" s="16" t="str">
        <x:v>Major</x:v>
      </x:c>
      <x:c r="M26" s="16" t="n">
        <x:f>IF(L26="Major",1,IF(L26="Moderate",0.7,0.3))</x:f>
        <x:v>1</x:v>
      </x:c>
      <x:c r="N26" s="16" t="n">
        <x:f>MAX(-2.5,MIN(2.5,0.05*(J26-50)*M26))</x:f>
        <x:v>0.4299999999999997</x:v>
      </x:c>
      <x:c r="O26" s="16" t="n">
        <x:v>75</x:v>
      </x:c>
      <x:c r="P26" t="str">
        <x:v>Strong Q2/AWS acceleration; new FTC ad-practices lawsuit</x:v>
      </x:c>
      <x:c r="Q26" t="str">
        <x:v>https://ir.aboutamazon.com/news-release/news-release-details/2026/Amazon-com-Announces-Second-Quarter-Results/default.aspx</x:v>
      </x:c>
      <x:c r="R26" t="str">
        <x:v>https://www.axios.com/2026/08/31/ftc-amazon-deceptive-advertising-lawsuit</x:v>
      </x:c>
      <x:c r="S26" t="n">
        <x:f>0.05*(50-50)*M26</x:f>
        <x:v>0</x:v>
      </x:c>
      <x:c r="T26" t="n">
        <x:v>2.5</x:v>
      </x:c>
      <x:c r="U26" t="str">
        <x:v>Tactical overlay only; Catalyst Risk is separate.</x:v>
      </x:c>
    </x:row>
    <x:row r="27">
      <x:c r="A27" t="str">
        <x:v>NFLX</x:v>
      </x:c>
      <x:c r="B27" t="str">
        <x:v>Netflix</x:v>
      </x:c>
      <x:c r="C27" t="str">
        <x:v>QQQ</x:v>
      </x:c>
      <x:c r="D27" s="16" t="n">
        <x:v>40</x:v>
      </x:c>
      <x:c r="E27" s="16" t="n">
        <x:v>38</x:v>
      </x:c>
      <x:c r="F27" s="16" t="n">
        <x:v>40</x:v>
      </x:c>
      <x:c r="G27" s="16" t="n">
        <x:f>20%*D27+50%*E27+30%*F27</x:f>
        <x:v>39</x:v>
      </x:c>
      <x:c r="H27" t="str">
        <x:v>High</x:v>
      </x:c>
      <x:c r="I27" s="16" t="n">
        <x:f>IF(H27="High",1,IF(H27="Medium",0.85,0.65))</x:f>
        <x:v>1</x:v>
      </x:c>
      <x:c r="J27" s="16" t="n">
        <x:f>50+(G27-50)*I27</x:f>
        <x:v>39</x:v>
      </x:c>
      <x:c r="K27" s="16" t="n">
        <x:f>D27-E27</x:f>
        <x:v>2</x:v>
      </x:c>
      <x:c r="L27" s="16" t="str">
        <x:v>Moderate</x:v>
      </x:c>
      <x:c r="M27" s="16" t="n">
        <x:f>IF(L27="Major",1,IF(L27="Moderate",0.7,0.3))</x:f>
        <x:v>0.7</x:v>
      </x:c>
      <x:c r="N27" s="16" t="n">
        <x:f>MAX(-2.5,MIN(2.5,0.05*(J27-50)*M27))</x:f>
        <x:v>-0.385</x:v>
      </x:c>
      <x:c r="O27" s="16" t="n">
        <x:v>55</x:v>
      </x:c>
      <x:c r="P27" t="str">
        <x:v>Fundamentals growing, but M&amp;A/strategy fears weigh on shares</x:v>
      </x:c>
      <x:c r="Q27" t="str">
        <x:v>https://www.marketwatch.com/story/netflix-is-growing-but-its-stock-price-is-shrinking-as-the-specter-of-m-a-spooks-investors-d8be002e</x:v>
      </x:c>
      <x:c r="R27" t="str"/>
      <x:c r="S27" t="n">
        <x:f>0.05*(50-50)*M27</x:f>
        <x:v>0</x:v>
      </x:c>
      <x:c r="T27" t="n">
        <x:v>2.5</x:v>
      </x:c>
      <x:c r="U27" t="str">
        <x:v>Tactical overlay only; Catalyst Risk is separate.</x:v>
      </x:c>
    </x:row>
    <x:row r="28">
      <x:c r="A28" t="str">
        <x:v>DHR</x:v>
      </x:c>
      <x:c r="B28" t="str">
        <x:v>Danaher</x:v>
      </x:c>
      <x:c r="C28" t="str">
        <x:v>Healthcare</x:v>
      </x:c>
      <x:c r="D28" s="16" t="n">
        <x:v>45</x:v>
      </x:c>
      <x:c r="E28" s="16" t="n">
        <x:v>48</x:v>
      </x:c>
      <x:c r="F28" s="16" t="n">
        <x:v>55</x:v>
      </x:c>
      <x:c r="G28" s="16" t="n">
        <x:f>20%*D28+50%*E28+30%*F28</x:f>
        <x:v>49.5</x:v>
      </x:c>
      <x:c r="H28" t="str">
        <x:v>High</x:v>
      </x:c>
      <x:c r="I28" s="16" t="n">
        <x:f>IF(H28="High",1,IF(H28="Medium",0.85,0.65))</x:f>
        <x:v>1</x:v>
      </x:c>
      <x:c r="J28" s="16" t="n">
        <x:f>50+(G28-50)*I28</x:f>
        <x:v>49.5</x:v>
      </x:c>
      <x:c r="K28" s="16" t="n">
        <x:f>D28-E28</x:f>
        <x:v>-3</x:v>
      </x:c>
      <x:c r="L28" s="16" t="str">
        <x:v>Moderate</x:v>
      </x:c>
      <x:c r="M28" s="16" t="n">
        <x:f>IF(L28="Major",1,IF(L28="Moderate",0.7,0.3))</x:f>
        <x:v>0.7</x:v>
      </x:c>
      <x:c r="N28" s="16" t="n">
        <x:f>MAX(-2.5,MIN(2.5,0.05*(J28-50)*M28))</x:f>
        <x:v>-0.017499999999999998</x:v>
      </x:c>
      <x:c r="O28" s="16" t="n">
        <x:v>45</x:v>
      </x:c>
      <x:c r="P28" t="str">
        <x:v>Q2 outlook upgrade but slowing growth / leadership transition</x:v>
      </x:c>
      <x:c r="Q28" t="str">
        <x:v>https://investors.danaher.com/press-releases?keywords=DHR-5&amp;l=100</x:v>
      </x:c>
      <x:c r="R28" t="str"/>
      <x:c r="S28" t="n">
        <x:f>0.05*(50-50)*M28</x:f>
        <x:v>0</x:v>
      </x:c>
      <x:c r="T28" t="n">
        <x:v>2.5</x:v>
      </x:c>
      <x:c r="U28" t="str">
        <x:v>Tactical overlay only; Catalyst Risk is separate.</x:v>
      </x:c>
    </x:row>
    <x:row r="29">
      <x:c r="A29" t="str">
        <x:v>MU</x:v>
      </x:c>
      <x:c r="B29" t="str">
        <x:v>Micron Technology</x:v>
      </x:c>
      <x:c r="C29" t="str">
        <x:v>QQQ</x:v>
      </x:c>
      <x:c r="D29" s="16" t="n">
        <x:v>55</x:v>
      </x:c>
      <x:c r="E29" s="16" t="n">
        <x:v>75</x:v>
      </x:c>
      <x:c r="F29" s="16" t="n">
        <x:v>84</x:v>
      </x:c>
      <x:c r="G29" s="16" t="n">
        <x:f>20%*D29+50%*E29+30%*F29</x:f>
        <x:v>73.7</x:v>
      </x:c>
      <x:c r="H29" t="str">
        <x:v>High</x:v>
      </x:c>
      <x:c r="I29" s="16" t="n">
        <x:f>IF(H29="High",1,IF(H29="Medium",0.85,0.65))</x:f>
        <x:v>1</x:v>
      </x:c>
      <x:c r="J29" s="16" t="n">
        <x:f>50+(G29-50)*I29</x:f>
        <x:v>73.7</x:v>
      </x:c>
      <x:c r="K29" s="16" t="n">
        <x:f>D29-E29</x:f>
        <x:v>-20</x:v>
      </x:c>
      <x:c r="L29" s="16" t="str">
        <x:v>Moderate</x:v>
      </x:c>
      <x:c r="M29" s="16" t="n">
        <x:f>IF(L29="Major",1,IF(L29="Moderate",0.7,0.3))</x:f>
        <x:v>0.7</x:v>
      </x:c>
      <x:c r="N29" s="16" t="n">
        <x:f>MAX(-2.5,MIN(2.5,0.05*(J29-50)*M29))</x:f>
        <x:v>0.8295000000000001</x:v>
      </x:c>
      <x:c r="O29" s="16" t="n">
        <x:v>65</x:v>
      </x:c>
      <x:c r="P29" t="str">
        <x:v>AI memory boom; Taiwan labor/lower-cycle risks</x:v>
      </x:c>
      <x:c r="Q29" t="str">
        <x:v>https://www.barrons.com/articles/micron-stock-price-memory-chips-c8a21d87</x:v>
      </x:c>
      <x:c r="R29" t="str">
        <x:v>https://finance.yahoo.com/quote/MU/</x:v>
      </x:c>
      <x:c r="S29" t="n">
        <x:f>0.05*(50-50)*M29</x:f>
        <x:v>0</x:v>
      </x:c>
      <x:c r="T29" t="n">
        <x:v>2.5</x:v>
      </x:c>
      <x:c r="U29" t="str">
        <x:v>Tactical overlay only; Catalyst Risk is separate.</x:v>
      </x:c>
    </x:row>
    <x:row r="30">
      <x:c r="A30" t="str">
        <x:v>ILMN</x:v>
      </x:c>
      <x:c r="B30" t="str">
        <x:v>Illumina</x:v>
      </x:c>
      <x:c r="C30" t="str">
        <x:v>Healthcare</x:v>
      </x:c>
      <x:c r="D30" s="16" t="n">
        <x:v>55</x:v>
      </x:c>
      <x:c r="E30" s="16" t="n">
        <x:v>72</x:v>
      </x:c>
      <x:c r="F30" s="16" t="n">
        <x:v>70</x:v>
      </x:c>
      <x:c r="G30" s="16" t="n">
        <x:f>20%*D30+50%*E30+30%*F30</x:f>
        <x:v>68</x:v>
      </x:c>
      <x:c r="H30" t="str">
        <x:v>Medium</x:v>
      </x:c>
      <x:c r="I30" s="16" t="n">
        <x:f>IF(H30="High",1,IF(H30="Medium",0.85,0.65))</x:f>
        <x:v>0.85</x:v>
      </x:c>
      <x:c r="J30" s="16" t="n">
        <x:f>50+(G30-50)*I30</x:f>
        <x:v>65.3</x:v>
      </x:c>
      <x:c r="K30" s="16" t="n">
        <x:f>D30-E30</x:f>
        <x:v>-17</x:v>
      </x:c>
      <x:c r="L30" s="16" t="str">
        <x:v>Moderate</x:v>
      </x:c>
      <x:c r="M30" s="16" t="n">
        <x:f>IF(L30="Major",1,IF(L30="Moderate",0.7,0.3))</x:f>
        <x:v>0.7</x:v>
      </x:c>
      <x:c r="N30" s="16" t="n">
        <x:f>MAX(-2.5,MIN(2.5,0.05*(J30-50)*M30))</x:f>
        <x:v>0.5354999999999999</x:v>
      </x:c>
      <x:c r="O30" s="16" t="n">
        <x:v>60</x:v>
      </x:c>
      <x:c r="P30" t="str">
        <x:v>Q2 growth + AI/genomics partnerships</x:v>
      </x:c>
      <x:c r="Q30" t="str">
        <x:v>https://investor.illumina.com/news-events/news-releases</x:v>
      </x:c>
      <x:c r="R30" t="str"/>
      <x:c r="S30" t="n">
        <x:f>0.05*(50-50)*M30</x:f>
        <x:v>0</x:v>
      </x:c>
      <x:c r="T30" t="n">
        <x:v>2.5</x:v>
      </x:c>
      <x:c r="U30" t="str">
        <x:v>Tactical overlay only; Catalyst Risk is separate.</x:v>
      </x:c>
    </x:row>
    <x:row r="31">
      <x:c r="A31" t="str">
        <x:v>AAPL</x:v>
      </x:c>
      <x:c r="B31" t="str">
        <x:v>Apple</x:v>
      </x:c>
      <x:c r="C31" t="str">
        <x:v>QQQ</x:v>
      </x:c>
      <x:c r="D31" s="16" t="n">
        <x:v>55</x:v>
      </x:c>
      <x:c r="E31" s="16" t="n">
        <x:v>65</x:v>
      </x:c>
      <x:c r="F31" s="16" t="n">
        <x:v>62</x:v>
      </x:c>
      <x:c r="G31" s="16" t="n">
        <x:f>20%*D31+50%*E31+30%*F31</x:f>
        <x:v>62.099999999999994</x:v>
      </x:c>
      <x:c r="H31" t="str">
        <x:v>High</x:v>
      </x:c>
      <x:c r="I31" s="16" t="n">
        <x:f>IF(H31="High",1,IF(H31="Medium",0.85,0.65))</x:f>
        <x:v>1</x:v>
      </x:c>
      <x:c r="J31" s="16" t="n">
        <x:f>50+(G31-50)*I31</x:f>
        <x:v>62.099999999999994</x:v>
      </x:c>
      <x:c r="K31" s="16" t="n">
        <x:f>D31-E31</x:f>
        <x:v>-10</x:v>
      </x:c>
      <x:c r="L31" s="16" t="str">
        <x:v>Moderate</x:v>
      </x:c>
      <x:c r="M31" s="16" t="n">
        <x:f>IF(L31="Major",1,IF(L31="Moderate",0.7,0.3))</x:f>
        <x:v>0.7</x:v>
      </x:c>
      <x:c r="N31" s="16" t="n">
        <x:f>MAX(-2.5,MIN(2.5,0.05*(J31-50)*M31))</x:f>
        <x:v>0.4234999999999998</x:v>
      </x:c>
      <x:c r="O31" s="16" t="n">
        <x:v>65</x:v>
      </x:c>
      <x:c r="P31" t="str">
        <x:v>Record Q3; CEO transition + AI execution questions</x:v>
      </x:c>
      <x:c r="Q31" t="str">
        <x:v>https://www.apple.com/newsroom/2026/07/apple-reports-third-quarter-results/</x:v>
      </x:c>
      <x:c r="R31" t="str">
        <x:v>https://apnews.com/article/2fac80118828b4ada9d160d012c7be32</x:v>
      </x:c>
      <x:c r="S31" t="n">
        <x:f>0.05*(50-50)*M31</x:f>
        <x:v>0</x:v>
      </x:c>
      <x:c r="T31" t="n">
        <x:v>2.5</x:v>
      </x:c>
      <x:c r="U31" t="str">
        <x:v>Tactical overlay only; Catalyst Risk is separate.</x:v>
      </x:c>
    </x:row>
    <x:row r="32">
      <x:c r="A32" t="str">
        <x:v>GOOGL</x:v>
      </x:c>
      <x:c r="B32" t="str">
        <x:v>Alphabet</x:v>
      </x:c>
      <x:c r="C32" t="str">
        <x:v>QQQ</x:v>
      </x:c>
      <x:c r="D32" s="16" t="n">
        <x:v>55</x:v>
      </x:c>
      <x:c r="E32" s="16" t="n">
        <x:v>65</x:v>
      </x:c>
      <x:c r="F32" s="16" t="n">
        <x:v>70</x:v>
      </x:c>
      <x:c r="G32" s="16" t="n">
        <x:f>20%*D32+50%*E32+30%*F32</x:f>
        <x:v>64.5</x:v>
      </x:c>
      <x:c r="H32" t="str">
        <x:v>High</x:v>
      </x:c>
      <x:c r="I32" s="16" t="n">
        <x:f>IF(H32="High",1,IF(H32="Medium",0.85,0.65))</x:f>
        <x:v>1</x:v>
      </x:c>
      <x:c r="J32" s="16" t="n">
        <x:f>50+(G32-50)*I32</x:f>
        <x:v>64.5</x:v>
      </x:c>
      <x:c r="K32" s="16" t="n">
        <x:f>D32-E32</x:f>
        <x:v>-10</x:v>
      </x:c>
      <x:c r="L32" s="16" t="str">
        <x:v>Moderate</x:v>
      </x:c>
      <x:c r="M32" s="16" t="n">
        <x:f>IF(L32="Major",1,IF(L32="Moderate",0.7,0.3))</x:f>
        <x:v>0.7</x:v>
      </x:c>
      <x:c r="N32" s="16" t="n">
        <x:f>MAX(-2.5,MIN(2.5,0.05*(J32-50)*M32))</x:f>
        <x:v>0.5075000000000001</x:v>
      </x:c>
      <x:c r="O32" s="16" t="n">
        <x:v>65</x:v>
      </x:c>
      <x:c r="P32" t="str">
        <x:v>Strong Q2/Cloud acceleration; AI capex and leadership-transition concerns</x:v>
      </x:c>
      <x:c r="Q32" t="str">
        <x:v>https://www.sec.gov/Archives/edgar/data/1652044/000165204426000066/googexhibit991q22026.htm</x:v>
      </x:c>
      <x:c r="R32" t="str"/>
      <x:c r="S32" t="n">
        <x:f>0.05*(50-50)*M32</x:f>
        <x:v>0</x:v>
      </x:c>
      <x:c r="T32" t="n">
        <x:v>2.5</x:v>
      </x:c>
      <x:c r="U32" t="str">
        <x:v>Tactical overlay only; Catalyst Risk is separate.</x:v>
      </x:c>
    </x:row>
    <x:row r="33">
      <x:c r="A33" t="str">
        <x:v>CSCO</x:v>
      </x:c>
      <x:c r="B33" t="str">
        <x:v>Cisco Systems</x:v>
      </x:c>
      <x:c r="C33" t="str">
        <x:v>QQQ</x:v>
      </x:c>
      <x:c r="D33" s="16" t="n">
        <x:v>65</x:v>
      </x:c>
      <x:c r="E33" s="16" t="n">
        <x:v>68</x:v>
      </x:c>
      <x:c r="F33" s="16" t="n">
        <x:v>65</x:v>
      </x:c>
      <x:c r="G33" s="16" t="n">
        <x:f>20%*D33+50%*E33+30%*F33</x:f>
        <x:v>66.5</x:v>
      </x:c>
      <x:c r="H33" t="str">
        <x:v>Medium</x:v>
      </x:c>
      <x:c r="I33" s="16" t="n">
        <x:f>IF(H33="High",1,IF(H33="Medium",0.85,0.65))</x:f>
        <x:v>0.85</x:v>
      </x:c>
      <x:c r="J33" s="16" t="n">
        <x:f>50+(G33-50)*I33</x:f>
        <x:v>64.025</x:v>
      </x:c>
      <x:c r="K33" s="16" t="n">
        <x:f>D33-E33</x:f>
        <x:v>-3</x:v>
      </x:c>
      <x:c r="L33" s="16" t="str">
        <x:v>Moderate</x:v>
      </x:c>
      <x:c r="M33" s="16" t="n">
        <x:f>IF(L33="Major",1,IF(L33="Moderate",0.7,0.3))</x:f>
        <x:v>0.7</x:v>
      </x:c>
      <x:c r="N33" s="16" t="n">
        <x:f>MAX(-2.5,MIN(2.5,0.05*(J33-50)*M33))</x:f>
        <x:v>0.49087500000000023</x:v>
      </x:c>
      <x:c r="O33" s="16" t="n">
        <x:v>45</x:v>
      </x:c>
      <x:c r="P33" t="str">
        <x:v>AI networking/connectivity thesis strengthening</x:v>
      </x:c>
      <x:c r="Q33" t="str">
        <x:v>https://www.marketwatch.com/story/buy-these-stocks-to-ride-the-next-big-ai-wave-connectivity-analyst-says-196241b2</x:v>
      </x:c>
      <x:c r="R33" t="str"/>
      <x:c r="S33" t="n">
        <x:f>0.05*(50-50)*M33</x:f>
        <x:v>0</x:v>
      </x:c>
      <x:c r="T33" t="n">
        <x:v>2.5</x:v>
      </x:c>
      <x:c r="U33" t="str">
        <x:v>Tactical overlay only; Catalyst Risk is separate.</x:v>
      </x:c>
    </x:row>
    <x:row r="34">
      <x:c r="A34" t="str">
        <x:v>BAYRY</x:v>
      </x:c>
      <x:c r="B34" t="str">
        <x:v>Bayer</x:v>
      </x:c>
      <x:c r="C34" t="str">
        <x:v>Healthcare</x:v>
      </x:c>
      <x:c r="D34" s="16" t="n">
        <x:v>62</x:v>
      </x:c>
      <x:c r="E34" s="16" t="n">
        <x:v>60</x:v>
      </x:c>
      <x:c r="F34" s="16" t="n">
        <x:v>75</x:v>
      </x:c>
      <x:c r="G34" s="16" t="n">
        <x:f>20%*D34+50%*E34+30%*F34</x:f>
        <x:v>64.9</x:v>
      </x:c>
      <x:c r="H34" t="str">
        <x:v>Medium</x:v>
      </x:c>
      <x:c r="I34" s="16" t="n">
        <x:f>IF(H34="High",1,IF(H34="Medium",0.85,0.65))</x:f>
        <x:v>0.85</x:v>
      </x:c>
      <x:c r="J34" s="16" t="n">
        <x:f>50+(G34-50)*I34</x:f>
        <x:v>62.665000000000006</x:v>
      </x:c>
      <x:c r="K34" s="16" t="n">
        <x:f>D34-E34</x:f>
        <x:v>2</x:v>
      </x:c>
      <x:c r="L34" s="16" t="str">
        <x:v>Major</x:v>
      </x:c>
      <x:c r="M34" s="16" t="n">
        <x:f>IF(L34="Major",1,IF(L34="Moderate",0.7,0.3))</x:f>
        <x:v>1</x:v>
      </x:c>
      <x:c r="N34" s="16" t="n">
        <x:f>MAX(-2.5,MIN(2.5,0.05*(J34-50)*M34))</x:f>
        <x:v>0.6332500000000003</x:v>
      </x:c>
      <x:c r="O34" s="16" t="n">
        <x:v>90</x:v>
      </x:c>
      <x:c r="P34" t="str">
        <x:v>Roundup legal relief + new approvals; litigation risk remains</x:v>
      </x:c>
      <x:c r="Q34" t="str">
        <x:v>https://www.marketbeat.com/stocks/OTCMKTS/BAYRY/news/</x:v>
      </x:c>
      <x:c r="R34" t="str"/>
      <x:c r="S34" t="n">
        <x:f>0.05*(50-50)*M34</x:f>
        <x:v>0</x:v>
      </x:c>
      <x:c r="T34" t="n">
        <x:v>2.5</x:v>
      </x:c>
      <x:c r="U34" t="str">
        <x:v>Tactical overlay only; Catalyst Risk is separate.</x:v>
      </x:c>
    </x:row>
    <x:row r="35">
      <x:c r="A35" t="str">
        <x:v>NTRA</x:v>
      </x:c>
      <x:c r="B35" t="str">
        <x:v>Natera</x:v>
      </x:c>
      <x:c r="C35" t="str">
        <x:v>Healthcare</x:v>
      </x:c>
      <x:c r="D35" s="16" t="n">
        <x:v>60</x:v>
      </x:c>
      <x:c r="E35" s="16" t="n">
        <x:v>75</x:v>
      </x:c>
      <x:c r="F35" s="16" t="n">
        <x:v>80</x:v>
      </x:c>
      <x:c r="G35" s="16" t="n">
        <x:f>20%*D35+50%*E35+30%*F35</x:f>
        <x:v>73.5</x:v>
      </x:c>
      <x:c r="H35" t="str">
        <x:v>High</x:v>
      </x:c>
      <x:c r="I35" s="16" t="n">
        <x:f>IF(H35="High",1,IF(H35="Medium",0.85,0.65))</x:f>
        <x:v>1</x:v>
      </x:c>
      <x:c r="J35" s="16" t="n">
        <x:f>50+(G35-50)*I35</x:f>
        <x:v>73.5</x:v>
      </x:c>
      <x:c r="K35" s="16" t="n">
        <x:f>D35-E35</x:f>
        <x:v>-15</x:v>
      </x:c>
      <x:c r="L35" s="16" t="str">
        <x:v>Major</x:v>
      </x:c>
      <x:c r="M35" s="16" t="n">
        <x:f>IF(L35="Major",1,IF(L35="Moderate",0.7,0.3))</x:f>
        <x:v>1</x:v>
      </x:c>
      <x:c r="N35" s="16" t="n">
        <x:f>MAX(-2.5,MIN(2.5,0.05*(J35-50)*M35))</x:f>
        <x:v>1.175</x:v>
      </x:c>
      <x:c r="O35" s="16" t="n">
        <x:v>80</x:v>
      </x:c>
      <x:c r="P35" t="str">
        <x:v>FDA/coverage/data momentum across Signatera/Prospera</x:v>
      </x:c>
      <x:c r="Q35" t="str">
        <x:v>https://www.morningstar.com/stocks/xnas/ntra/news</x:v>
      </x:c>
      <x:c r="R35" t="str"/>
      <x:c r="S35" t="n">
        <x:f>0.05*(50-50)*M35</x:f>
        <x:v>0</x:v>
      </x:c>
      <x:c r="T35" t="n">
        <x:v>2.5</x:v>
      </x:c>
      <x:c r="U35" t="str">
        <x:v>Tactical overlay only; Catalyst Risk is separate.</x:v>
      </x:c>
    </x:row>
    <x:row r="36">
      <x:c r="A36" t="str">
        <x:v>AVGO</x:v>
      </x:c>
      <x:c r="B36" t="str">
        <x:v>Broadcom</x:v>
      </x:c>
      <x:c r="C36" t="str">
        <x:v>QQQ</x:v>
      </x:c>
      <x:c r="D36" s="16" t="n">
        <x:v>50</x:v>
      </x:c>
      <x:c r="E36" s="16" t="n">
        <x:v>58</x:v>
      </x:c>
      <x:c r="F36" s="16" t="n">
        <x:v>70</x:v>
      </x:c>
      <x:c r="G36" s="16" t="n">
        <x:f>20%*D36+50%*E36+30%*F36</x:f>
        <x:v>60</x:v>
      </x:c>
      <x:c r="H36" t="str">
        <x:v>High</x:v>
      </x:c>
      <x:c r="I36" s="16" t="n">
        <x:f>IF(H36="High",1,IF(H36="Medium",0.85,0.65))</x:f>
        <x:v>1</x:v>
      </x:c>
      <x:c r="J36" s="16" t="n">
        <x:f>50+(G36-50)*I36</x:f>
        <x:v>60</x:v>
      </x:c>
      <x:c r="K36" s="16" t="n">
        <x:f>D36-E36</x:f>
        <x:v>-8</x:v>
      </x:c>
      <x:c r="L36" s="16" t="str">
        <x:v>Moderate</x:v>
      </x:c>
      <x:c r="M36" s="16" t="n">
        <x:f>IF(L36="Major",1,IF(L36="Moderate",0.7,0.3))</x:f>
        <x:v>0.7</x:v>
      </x:c>
      <x:c r="N36" s="16" t="n">
        <x:f>MAX(-2.5,MIN(2.5,0.05*(J36-50)*M36))</x:f>
        <x:v>0.35</x:v>
      </x:c>
      <x:c r="O36" s="16" t="n">
        <x:v>55</x:v>
      </x:c>
      <x:c r="P36" t="str">
        <x:v>AI demand strong but high expectations/competition ahead of earnings</x:v>
      </x:c>
      <x:c r="Q36" t="str">
        <x:v>https://www.marketwatch.com/story/broadcom-earnings-need-to-answer-these-questions-for-the-stock-to-rally-again-f4e8f4f0</x:v>
      </x:c>
      <x:c r="R36" t="str"/>
      <x:c r="S36" t="n">
        <x:f>0.05*(50-50)*M36</x:f>
        <x:v>0</x:v>
      </x:c>
      <x:c r="T36" t="n">
        <x:v>2.5</x:v>
      </x:c>
      <x:c r="U36" t="str">
        <x:v>Tactical overlay only; Catalyst Risk is separate.</x:v>
      </x:c>
    </x:row>
    <x:row r="37">
      <x:c r="A37" t="str">
        <x:v>AMAT</x:v>
      </x:c>
      <x:c r="B37" t="str">
        <x:v>Applied Materials</x:v>
      </x:c>
      <x:c r="C37" t="str">
        <x:v>QQQ</x:v>
      </x:c>
      <x:c r="D37" s="16" t="n">
        <x:v>55</x:v>
      </x:c>
      <x:c r="E37" s="16" t="n">
        <x:v>72</x:v>
      </x:c>
      <x:c r="F37" s="16" t="n">
        <x:v>80</x:v>
      </x:c>
      <x:c r="G37" s="16" t="n">
        <x:f>20%*D37+50%*E37+30%*F37</x:f>
        <x:v>71</x:v>
      </x:c>
      <x:c r="H37" t="str">
        <x:v>High</x:v>
      </x:c>
      <x:c r="I37" s="16" t="n">
        <x:f>IF(H37="High",1,IF(H37="Medium",0.85,0.65))</x:f>
        <x:v>1</x:v>
      </x:c>
      <x:c r="J37" s="16" t="n">
        <x:f>50+(G37-50)*I37</x:f>
        <x:v>71</x:v>
      </x:c>
      <x:c r="K37" s="16" t="n">
        <x:f>D37-E37</x:f>
        <x:v>-17</x:v>
      </x:c>
      <x:c r="L37" s="16" t="str">
        <x:v>Moderate</x:v>
      </x:c>
      <x:c r="M37" s="16" t="n">
        <x:f>IF(L37="Major",1,IF(L37="Moderate",0.7,0.3))</x:f>
        <x:v>0.7</x:v>
      </x:c>
      <x:c r="N37" s="16" t="n">
        <x:f>MAX(-2.5,MIN(2.5,0.05*(J37-50)*M37))</x:f>
        <x:v>0.735</x:v>
      </x:c>
      <x:c r="O37" s="16" t="n">
        <x:v>55</x:v>
      </x:c>
      <x:c r="P37" t="str">
        <x:v>AI-driven profits/revenue strong; stock/expectation volatility</x:v>
      </x:c>
      <x:c r="Q37" t="str">
        <x:v>https://www.morningstar.com/stocks/xnas/amat/news</x:v>
      </x:c>
      <x:c r="R37" t="str"/>
      <x:c r="S37" t="n">
        <x:f>0.05*(50-50)*M37</x:f>
        <x:v>0</x:v>
      </x:c>
      <x:c r="T37" t="n">
        <x:v>2.5</x:v>
      </x:c>
      <x:c r="U37" t="str">
        <x:v>Tactical overlay only; Catalyst Risk is separate.</x:v>
      </x:c>
    </x:row>
    <x:row r="38">
      <x:c r="A38" t="str">
        <x:v>GH</x:v>
      </x:c>
      <x:c r="B38" t="str">
        <x:v>Guardant Health</x:v>
      </x:c>
      <x:c r="C38" t="str">
        <x:v>Healthcare</x:v>
      </x:c>
      <x:c r="D38" s="16" t="n">
        <x:v>55</x:v>
      </x:c>
      <x:c r="E38" s="16" t="n">
        <x:v>70</x:v>
      </x:c>
      <x:c r="F38" s="16" t="n">
        <x:v>82</x:v>
      </x:c>
      <x:c r="G38" s="16" t="n">
        <x:f>20%*D38+50%*E38+30%*F38</x:f>
        <x:v>70.6</x:v>
      </x:c>
      <x:c r="H38" t="str">
        <x:v>Medium</x:v>
      </x:c>
      <x:c r="I38" s="16" t="n">
        <x:f>IF(H38="High",1,IF(H38="Medium",0.85,0.65))</x:f>
        <x:v>0.85</x:v>
      </x:c>
      <x:c r="J38" s="16" t="n">
        <x:f>50+(G38-50)*I38</x:f>
        <x:v>67.50999999999999</x:v>
      </x:c>
      <x:c r="K38" s="16" t="n">
        <x:f>D38-E38</x:f>
        <x:v>-15</x:v>
      </x:c>
      <x:c r="L38" s="16" t="str">
        <x:v>Major</x:v>
      </x:c>
      <x:c r="M38" s="16" t="n">
        <x:f>IF(L38="Major",1,IF(L38="Moderate",0.7,0.3))</x:f>
        <x:v>1</x:v>
      </x:c>
      <x:c r="N38" s="16" t="n">
        <x:f>MAX(-2.5,MIN(2.5,0.05*(J38-50)*M38))</x:f>
        <x:v>0.8754999999999996</x:v>
      </x:c>
      <x:c r="O38" s="16" t="n">
        <x:v>80</x:v>
      </x:c>
      <x:c r="P38" t="str">
        <x:v>FDA-approved liquid-biopsy momentum and analyst upgrades</x:v>
      </x:c>
      <x:c r="Q38" t="str">
        <x:v>https://www.benzinga.com/quote/GH/news</x:v>
      </x:c>
      <x:c r="R38" t="str"/>
      <x:c r="S38" t="n">
        <x:f>0.05*(50-50)*M38</x:f>
        <x:v>0</x:v>
      </x:c>
      <x:c r="T38" t="n">
        <x:v>2.5</x:v>
      </x:c>
      <x:c r="U38" t="str">
        <x:v>Tactical overlay only; Catalyst Risk is separate.</x:v>
      </x:c>
    </x:row>
    <x:row r="39">
      <x:c r="A39" t="str">
        <x:v>LRCX</x:v>
      </x:c>
      <x:c r="B39" t="str">
        <x:v>Lam Research</x:v>
      </x:c>
      <x:c r="C39" t="str">
        <x:v>QQQ</x:v>
      </x:c>
      <x:c r="D39" s="16" t="n">
        <x:v>70</x:v>
      </x:c>
      <x:c r="E39" s="16" t="n">
        <x:v>78</x:v>
      </x:c>
      <x:c r="F39" s="16" t="n">
        <x:v>82</x:v>
      </x:c>
      <x:c r="G39" s="16" t="n">
        <x:f>20%*D39+50%*E39+30%*F39</x:f>
        <x:v>77.6</x:v>
      </x:c>
      <x:c r="H39" t="str">
        <x:v>High</x:v>
      </x:c>
      <x:c r="I39" s="16" t="n">
        <x:f>IF(H39="High",1,IF(H39="Medium",0.85,0.65))</x:f>
        <x:v>1</x:v>
      </x:c>
      <x:c r="J39" s="16" t="n">
        <x:f>50+(G39-50)*I39</x:f>
        <x:v>77.6</x:v>
      </x:c>
      <x:c r="K39" s="16" t="n">
        <x:f>D39-E39</x:f>
        <x:v>-8</x:v>
      </x:c>
      <x:c r="L39" s="16" t="str">
        <x:v>Moderate</x:v>
      </x:c>
      <x:c r="M39" s="16" t="n">
        <x:f>IF(L39="Major",1,IF(L39="Moderate",0.7,0.3))</x:f>
        <x:v>0.7</x:v>
      </x:c>
      <x:c r="N39" s="16" t="n">
        <x:f>MAX(-2.5,MIN(2.5,0.05*(J39-50)*M39))</x:f>
        <x:v>0.9659999999999999</x:v>
      </x:c>
      <x:c r="O39" s="16" t="n">
        <x:v>50</x:v>
      </x:c>
      <x:c r="P39" t="str">
        <x:v>$3B R&amp;D expansion + higher dividend + AI chip demand</x:v>
      </x:c>
      <x:c r="Q39" t="str">
        <x:v>https://newsroom.lamresearch.com/press-releases?l=100</x:v>
      </x:c>
      <x:c r="R39" t="str"/>
      <x:c r="S39" t="n">
        <x:f>0.05*(50-50)*M39</x:f>
        <x:v>0</x:v>
      </x:c>
      <x:c r="T39" t="n">
        <x:v>2.5</x:v>
      </x:c>
      <x:c r="U39" t="str">
        <x:v>Tactical overlay only; Catalyst Risk is separate.</x:v>
      </x:c>
    </x:row>
    <x:row r="40">
      <x:c r="A40" t="str">
        <x:v>BIO</x:v>
      </x:c>
      <x:c r="B40" t="str">
        <x:v>Bio-Rad Laboratories</x:v>
      </x:c>
      <x:c r="C40" t="str">
        <x:v>Healthcare</x:v>
      </x:c>
      <x:c r="D40" s="16" t="n">
        <x:v>50</x:v>
      </x:c>
      <x:c r="E40" s="16" t="n">
        <x:v>55</x:v>
      </x:c>
      <x:c r="F40" s="16" t="n">
        <x:v>55</x:v>
      </x:c>
      <x:c r="G40" s="16" t="n">
        <x:f>20%*D40+50%*E40+30%*F40</x:f>
        <x:v>54</x:v>
      </x:c>
      <x:c r="H40" t="str">
        <x:v>Low</x:v>
      </x:c>
      <x:c r="I40" s="16" t="n">
        <x:f>IF(H40="High",1,IF(H40="Medium",0.85,0.65))</x:f>
        <x:v>0.65</x:v>
      </x:c>
      <x:c r="J40" s="16" t="n">
        <x:f>50+(G40-50)*I40</x:f>
        <x:v>52.6</x:v>
      </x:c>
      <x:c r="K40" s="16" t="n">
        <x:f>D40-E40</x:f>
        <x:v>-5</x:v>
      </x:c>
      <x:c r="L40" s="16" t="str">
        <x:v>Minor</x:v>
      </x:c>
      <x:c r="M40" s="16" t="n">
        <x:f>IF(L40="Major",1,IF(L40="Moderate",0.7,0.3))</x:f>
        <x:v>0.3</x:v>
      </x:c>
      <x:c r="N40" s="16" t="n">
        <x:f>MAX(-2.5,MIN(2.5,0.05*(J40-50)*M40))</x:f>
        <x:v>0.03900000000000003</x:v>
      </x:c>
      <x:c r="O40" s="16" t="n">
        <x:v>35</x:v>
      </x:c>
      <x:c r="P40" t="str">
        <x:v>Q2 results, but limited material newsflow</x:v>
      </x:c>
      <x:c r="Q40" t="str">
        <x:v>https://investors.bio-rad.com/press-releases/default.aspx?ID=1006</x:v>
      </x:c>
      <x:c r="R40" t="str"/>
      <x:c r="S40" t="n">
        <x:f>0.05*(50-50)*M40</x:f>
        <x:v>0</x:v>
      </x:c>
      <x:c r="T40" t="n">
        <x:v>2.5</x:v>
      </x:c>
      <x:c r="U40" t="str">
        <x:v>Tactical overlay only; Catalyst Risk is separate.</x:v>
      </x:c>
    </x:row>
    <x:row r="41">
      <x:c r="A41" t="str">
        <x:v>PANW</x:v>
      </x:c>
      <x:c r="B41" t="str">
        <x:v>Palo Alto Networks</x:v>
      </x:c>
      <x:c r="C41" t="str">
        <x:v>QQQ</x:v>
      </x:c>
      <x:c r="D41" s="16" t="n">
        <x:v>75</x:v>
      </x:c>
      <x:c r="E41" s="16" t="n">
        <x:v>82</x:v>
      </x:c>
      <x:c r="F41" s="16" t="n">
        <x:v>80</x:v>
      </x:c>
      <x:c r="G41" s="16" t="n">
        <x:f>20%*D41+50%*E41+30%*F41</x:f>
        <x:v>80</x:v>
      </x:c>
      <x:c r="H41" t="str">
        <x:v>High</x:v>
      </x:c>
      <x:c r="I41" s="16" t="n">
        <x:f>IF(H41="High",1,IF(H41="Medium",0.85,0.65))</x:f>
        <x:v>1</x:v>
      </x:c>
      <x:c r="J41" s="16" t="n">
        <x:f>50+(G41-50)*I41</x:f>
        <x:v>80</x:v>
      </x:c>
      <x:c r="K41" s="16" t="n">
        <x:f>D41-E41</x:f>
        <x:v>-7</x:v>
      </x:c>
      <x:c r="L41" s="16" t="str">
        <x:v>Moderate</x:v>
      </x:c>
      <x:c r="M41" s="16" t="n">
        <x:f>IF(L41="Major",1,IF(L41="Moderate",0.7,0.3))</x:f>
        <x:v>0.7</x:v>
      </x:c>
      <x:c r="N41" s="16" t="n">
        <x:f>MAX(-2.5,MIN(2.5,0.05*(J41-50)*M41))</x:f>
        <x:v>1.0499999999999998</x:v>
      </x:c>
      <x:c r="O41" s="16" t="n">
        <x:v>60</x:v>
      </x:c>
      <x:c r="P41" t="str">
        <x:v>Strong Q4 and FY27 outlook; AI cyber demand; FCF margin watch</x:v>
      </x:c>
      <x:c r="Q41" t="str">
        <x:v>https://www.marketwatch.com/story/palo-alto-networks-stock-climbs-as-demand-for-ai-cybersecurity-powers-an-earnings-beat-4b39578c</x:v>
      </x:c>
      <x:c r="R41" t="str"/>
      <x:c r="S41" t="n">
        <x:f>0.05*(50-50)*M41</x:f>
        <x:v>0</x:v>
      </x:c>
      <x:c r="T41" t="n">
        <x:v>2.5</x:v>
      </x:c>
      <x:c r="U41" t="str">
        <x:v>Tactical overlay only; Catalyst Risk is separate.</x:v>
      </x:c>
    </x:row>
    <x:row r="42">
      <x:c r="A42" t="str">
        <x:v>PLTR</x:v>
      </x:c>
      <x:c r="B42" t="str">
        <x:v>Palantir Technologies</x:v>
      </x:c>
      <x:c r="C42" t="str">
        <x:v>QQQ</x:v>
      </x:c>
      <x:c r="D42" s="16" t="n">
        <x:v>82</x:v>
      </x:c>
      <x:c r="E42" s="16" t="n">
        <x:v>88</x:v>
      </x:c>
      <x:c r="F42" s="16" t="n">
        <x:v>85</x:v>
      </x:c>
      <x:c r="G42" s="16" t="n">
        <x:f>20%*D42+50%*E42+30%*F42</x:f>
        <x:v>85.9</x:v>
      </x:c>
      <x:c r="H42" t="str">
        <x:v>High</x:v>
      </x:c>
      <x:c r="I42" s="16" t="n">
        <x:f>IF(H42="High",1,IF(H42="Medium",0.85,0.65))</x:f>
        <x:v>1</x:v>
      </x:c>
      <x:c r="J42" s="16" t="n">
        <x:f>50+(G42-50)*I42</x:f>
        <x:v>85.9</x:v>
      </x:c>
      <x:c r="K42" s="16" t="n">
        <x:f>D42-E42</x:f>
        <x:v>-6</x:v>
      </x:c>
      <x:c r="L42" s="16" t="str">
        <x:v>Major</x:v>
      </x:c>
      <x:c r="M42" s="16" t="n">
        <x:f>IF(L42="Major",1,IF(L42="Moderate",0.7,0.3))</x:f>
        <x:v>1</x:v>
      </x:c>
      <x:c r="N42" s="16" t="n">
        <x:f>MAX(-2.5,MIN(2.5,0.05*(J42-50)*M42))</x:f>
        <x:v>1.7950000000000004</x:v>
      </x:c>
      <x:c r="O42" s="16" t="n">
        <x:v>55</x:v>
      </x:c>
      <x:c r="P42" t="str">
        <x:v>Standout earnings; major software-sector momentum</x:v>
      </x:c>
      <x:c r="Q42" t="str">
        <x:v>https://www.investopedia.com/big-software-names-bounced-back-in-august-can-they-sustain-their-recent-rally-msft-pltr-crm-panw-12074445</x:v>
      </x:c>
      <x:c r="R42" t="str"/>
      <x:c r="S42" t="n">
        <x:f>0.05*(50-50)*M42</x:f>
        <x:v>0</x:v>
      </x:c>
      <x:c r="T42" t="n">
        <x:v>2.5</x:v>
      </x:c>
      <x:c r="U42" t="str">
        <x:v>Tactical overlay only; Catalyst Risk is separate.</x:v>
      </x:c>
    </x:row>
    <x:row r="43">
      <x:c r="A43" t="str">
        <x:v>WMT</x:v>
      </x:c>
      <x:c r="B43" t="str">
        <x:v>Walmart</x:v>
      </x:c>
      <x:c r="C43" t="str">
        <x:v>QQQ</x:v>
      </x:c>
      <x:c r="D43" s="16" t="n">
        <x:v>55</x:v>
      </x:c>
      <x:c r="E43" s="16" t="n">
        <x:v>65</x:v>
      </x:c>
      <x:c r="F43" s="16" t="n">
        <x:v>65</x:v>
      </x:c>
      <x:c r="G43" s="16" t="n">
        <x:f>20%*D43+50%*E43+30%*F43</x:f>
        <x:v>63</x:v>
      </x:c>
      <x:c r="H43" t="str">
        <x:v>Medium</x:v>
      </x:c>
      <x:c r="I43" s="16" t="n">
        <x:f>IF(H43="High",1,IF(H43="Medium",0.85,0.65))</x:f>
        <x:v>0.85</x:v>
      </x:c>
      <x:c r="J43" s="16" t="n">
        <x:f>50+(G43-50)*I43</x:f>
        <x:v>61.05</x:v>
      </x:c>
      <x:c r="K43" s="16" t="n">
        <x:f>D43-E43</x:f>
        <x:v>-10</x:v>
      </x:c>
      <x:c r="L43" s="16" t="str">
        <x:v>Moderate</x:v>
      </x:c>
      <x:c r="M43" s="16" t="n">
        <x:f>IF(L43="Major",1,IF(L43="Moderate",0.7,0.3))</x:f>
        <x:v>0.7</x:v>
      </x:c>
      <x:c r="N43" s="16" t="n">
        <x:f>MAX(-2.5,MIN(2.5,0.05*(J43-50)*M43))</x:f>
        <x:v>0.38674999999999987</x:v>
      </x:c>
      <x:c r="O43" s="16" t="n">
        <x:v>35</x:v>
      </x:c>
      <x:c r="P43" t="str">
        <x:v>Latest Q2 results / resilient retail demand; limited catalyst</x:v>
      </x:c>
      <x:c r="Q43" t="str">
        <x:v>https://stock.walmart.com/</x:v>
      </x:c>
      <x:c r="R43" t="str"/>
      <x:c r="S43" t="n">
        <x:f>0.05*(50-50)*M43</x:f>
        <x:v>0</x:v>
      </x:c>
      <x:c r="T43" t="n">
        <x:v>2.5</x:v>
      </x:c>
      <x:c r="U43" t="str">
        <x:v>Tactical overlay only; Catalyst Risk is separate.</x:v>
      </x:c>
    </x:row>
    <x:row r="44">
      <x:c r="A44" t="str">
        <x:v>COST</x:v>
      </x:c>
      <x:c r="B44" t="str">
        <x:v>Costco Wholesale</x:v>
      </x:c>
      <x:c r="C44" t="str">
        <x:v>QQQ</x:v>
      </x:c>
      <x:c r="D44" s="16" t="n">
        <x:v>48</x:v>
      </x:c>
      <x:c r="E44" s="16" t="n">
        <x:v>55</x:v>
      </x:c>
      <x:c r="F44" s="16" t="n">
        <x:v>60</x:v>
      </x:c>
      <x:c r="G44" s="16" t="n">
        <x:f>20%*D44+50%*E44+30%*F44</x:f>
        <x:v>55.1</x:v>
      </x:c>
      <x:c r="H44" t="str">
        <x:v>Medium</x:v>
      </x:c>
      <x:c r="I44" s="16" t="n">
        <x:f>IF(H44="High",1,IF(H44="Medium",0.85,0.65))</x:f>
        <x:v>0.85</x:v>
      </x:c>
      <x:c r="J44" s="16" t="n">
        <x:f>50+(G44-50)*I44</x:f>
        <x:v>54.335</x:v>
      </x:c>
      <x:c r="K44" s="16" t="n">
        <x:f>D44-E44</x:f>
        <x:v>-7</x:v>
      </x:c>
      <x:c r="L44" s="16" t="str">
        <x:v>Minor</x:v>
      </x:c>
      <x:c r="M44" s="16" t="n">
        <x:f>IF(L44="Major",1,IF(L44="Moderate",0.7,0.3))</x:f>
        <x:v>0.3</x:v>
      </x:c>
      <x:c r="N44" s="16" t="n">
        <x:f>MAX(-2.5,MIN(2.5,0.05*(J44-50)*M44))</x:f>
        <x:v>0.06502500000000001</x:v>
      </x:c>
      <x:c r="O44" s="16" t="n">
        <x:v>30</x:v>
      </x:c>
      <x:c r="P44" t="str">
        <x:v>Stable fundamentals, recent stock underperformance and few catalysts</x:v>
      </x:c>
      <x:c r="Q44" t="str">
        <x:v>https://investor.costco.com/</x:v>
      </x:c>
      <x:c r="R44" t="str"/>
      <x:c r="S44" t="n">
        <x:f>0.05*(50-50)*M44</x:f>
        <x:v>0</x:v>
      </x:c>
      <x:c r="T44" t="n">
        <x:v>2.5</x:v>
      </x:c>
      <x:c r="U44" t="str">
        <x:v>Tactical overlay only; Catalyst Risk is separate.</x:v>
      </x:c>
    </x:row>
    <x:row r="45">
      <x:c r="A45" t="str">
        <x:v>AMD</x:v>
      </x:c>
      <x:c r="B45" t="str">
        <x:v>Advanced Micro Devices</x:v>
      </x:c>
      <x:c r="C45" t="str">
        <x:v>QQQ</x:v>
      </x:c>
      <x:c r="D45" s="16" t="n">
        <x:v>75</x:v>
      </x:c>
      <x:c r="E45" s="16" t="n">
        <x:v>82</x:v>
      </x:c>
      <x:c r="F45" s="16" t="n">
        <x:v>80</x:v>
      </x:c>
      <x:c r="G45" s="16" t="n">
        <x:f>20%*D45+50%*E45+30%*F45</x:f>
        <x:v>80</x:v>
      </x:c>
      <x:c r="H45" t="str">
        <x:v>High</x:v>
      </x:c>
      <x:c r="I45" s="16" t="n">
        <x:f>IF(H45="High",1,IF(H45="Medium",0.85,0.65))</x:f>
        <x:v>1</x:v>
      </x:c>
      <x:c r="J45" s="16" t="n">
        <x:f>50+(G45-50)*I45</x:f>
        <x:v>80</x:v>
      </x:c>
      <x:c r="K45" s="16" t="n">
        <x:f>D45-E45</x:f>
        <x:v>-7</x:v>
      </x:c>
      <x:c r="L45" s="16" t="str">
        <x:v>Major</x:v>
      </x:c>
      <x:c r="M45" s="16" t="n">
        <x:f>IF(L45="Major",1,IF(L45="Moderate",0.7,0.3))</x:f>
        <x:v>1</x:v>
      </x:c>
      <x:c r="N45" s="16" t="n">
        <x:f>MAX(-2.5,MIN(2.5,0.05*(J45-50)*M45))</x:f>
        <x:v>1.5</x:v>
      </x:c>
      <x:c r="O45" s="16" t="n">
        <x:v>60</x:v>
      </x:c>
      <x:c r="P45" t="str">
        <x:v>AI partnerships, inference acquisition, deployments grow</x:v>
      </x:c>
      <x:c r="Q45" t="str">
        <x:v>https://ir.amd.com/news-events</x:v>
      </x:c>
      <x:c r="R45" t="str"/>
      <x:c r="S45" t="n">
        <x:f>0.05*(50-50)*M45</x:f>
        <x:v>0</x:v>
      </x:c>
      <x:c r="T45" t="n">
        <x:v>2.5</x:v>
      </x:c>
      <x:c r="U45" t="str">
        <x:v>Tactical overlay only; Catalyst Risk is separate.</x:v>
      </x:c>
    </x:row>
    <x:row r="46">
      <x:c r="A46" t="str">
        <x:v>INTC</x:v>
      </x:c>
      <x:c r="B46" t="str">
        <x:v>Intel</x:v>
      </x:c>
      <x:c r="C46" t="str">
        <x:v>QQQ</x:v>
      </x:c>
      <x:c r="D46" s="16" t="n">
        <x:v>30</x:v>
      </x:c>
      <x:c r="E46" s="16" t="n">
        <x:v>35</x:v>
      </x:c>
      <x:c r="F46" s="16" t="n">
        <x:v>45</x:v>
      </x:c>
      <x:c r="G46" s="16" t="n">
        <x:f>20%*D46+50%*E46+30%*F46</x:f>
        <x:v>37</x:v>
      </x:c>
      <x:c r="H46" t="str">
        <x:v>High</x:v>
      </x:c>
      <x:c r="I46" s="16" t="n">
        <x:f>IF(H46="High",1,IF(H46="Medium",0.85,0.65))</x:f>
        <x:v>1</x:v>
      </x:c>
      <x:c r="J46" s="16" t="n">
        <x:f>50+(G46-50)*I46</x:f>
        <x:v>37</x:v>
      </x:c>
      <x:c r="K46" s="16" t="n">
        <x:f>D46-E46</x:f>
        <x:v>-5</x:v>
      </x:c>
      <x:c r="L46" s="16" t="str">
        <x:v>Major</x:v>
      </x:c>
      <x:c r="M46" s="16" t="n">
        <x:f>IF(L46="Major",1,IF(L46="Moderate",0.7,0.3))</x:f>
        <x:v>1</x:v>
      </x:c>
      <x:c r="N46" s="16" t="n">
        <x:f>MAX(-2.5,MIN(2.5,0.05*(J46-50)*M46))</x:f>
        <x:v>-0.65</x:v>
      </x:c>
      <x:c r="O46" s="16" t="n">
        <x:v>80</x:v>
      </x:c>
      <x:c r="P46" t="str">
        <x:v>Q2 followed by large equity offering/dilution</x:v>
      </x:c>
      <x:c r="Q46" t="str">
        <x:v>https://www.intc.com/news-events/press-releases</x:v>
      </x:c>
      <x:c r="R46" t="str"/>
      <x:c r="S46" t="n">
        <x:f>0.05*(50-50)*M46</x:f>
        <x:v>0</x:v>
      </x:c>
      <x:c r="T46" t="n">
        <x:v>2.5</x:v>
      </x:c>
      <x:c r="U46" t="str">
        <x:v>Tactical overlay only; Catalyst Risk is separate.</x:v>
      </x:c>
    </x:row>
    <x:row r="47">
      <x:c r="A47" t="str">
        <x:v>SPCX</x:v>
      </x:c>
      <x:c r="B47" t="str">
        <x:v>SpaceX</x:v>
      </x:c>
      <x:c r="C47" t="str">
        <x:v>QQQ</x:v>
      </x:c>
      <x:c r="D47" s="16" t="n">
        <x:v>70</x:v>
      </x:c>
      <x:c r="E47" s="16" t="n">
        <x:v>75</x:v>
      </x:c>
      <x:c r="F47" s="16" t="n">
        <x:v>72</x:v>
      </x:c>
      <x:c r="G47" s="16" t="n">
        <x:f>20%*D47+50%*E47+30%*F47</x:f>
        <x:v>73.1</x:v>
      </x:c>
      <x:c r="H47" t="str">
        <x:v>High</x:v>
      </x:c>
      <x:c r="I47" s="16" t="n">
        <x:f>IF(H47="High",1,IF(H47="Medium",0.85,0.65))</x:f>
        <x:v>1</x:v>
      </x:c>
      <x:c r="J47" s="16" t="n">
        <x:f>50+(G47-50)*I47</x:f>
        <x:v>73.1</x:v>
      </x:c>
      <x:c r="K47" s="16" t="n">
        <x:f>D47-E47</x:f>
        <x:v>-5</x:v>
      </x:c>
      <x:c r="L47" s="16" t="str">
        <x:v>Major</x:v>
      </x:c>
      <x:c r="M47" s="16" t="n">
        <x:f>IF(L47="Major",1,IF(L47="Moderate",0.7,0.3))</x:f>
        <x:v>1</x:v>
      </x:c>
      <x:c r="N47" s="16" t="n">
        <x:f>MAX(-2.5,MIN(2.5,0.05*(J47-50)*M47))</x:f>
        <x:v>1.1549999999999998</x:v>
      </x:c>
      <x:c r="O47" s="16" t="n">
        <x:v>80</x:v>
      </x:c>
      <x:c r="P47" t="str">
        <x:v>DOD AI integration/vertical expansion; Crew mission delay</x:v>
      </x:c>
      <x:c r="Q47" t="str">
        <x:v>https://www.investors.com/news/spacex-dod-starshield-ai-grok-military-openai-chatgpt-nasa-mission-spacex-stock/</x:v>
      </x:c>
      <x:c r="R47" t="str"/>
      <x:c r="S47" t="n">
        <x:f>0.05*(50-50)*M47</x:f>
        <x:v>0</x:v>
      </x:c>
      <x:c r="T47" t="n">
        <x:v>2.5</x:v>
      </x:c>
      <x:c r="U47" t="str">
        <x:v>Tactical overlay only; Catalyst Risk is separate.</x:v>
      </x:c>
    </x:row>
    <x:row r="48">
      <x:c r="A48" t="str">
        <x:v>TSLA</x:v>
      </x:c>
      <x:c r="B48" t="str">
        <x:v>Tesla</x:v>
      </x:c>
      <x:c r="C48" t="str">
        <x:v>QQQ</x:v>
      </x:c>
      <x:c r="D48" s="16" t="n">
        <x:v>55</x:v>
      </x:c>
      <x:c r="E48" s="16" t="n">
        <x:v>55</x:v>
      </x:c>
      <x:c r="F48" s="16" t="n">
        <x:v>50</x:v>
      </x:c>
      <x:c r="G48" s="16" t="n">
        <x:f>20%*D48+50%*E48+30%*F48</x:f>
        <x:v>53.5</x:v>
      </x:c>
      <x:c r="H48" t="str">
        <x:v>High</x:v>
      </x:c>
      <x:c r="I48" s="16" t="n">
        <x:f>IF(H48="High",1,IF(H48="Medium",0.85,0.65))</x:f>
        <x:v>1</x:v>
      </x:c>
      <x:c r="J48" s="16" t="n">
        <x:f>50+(G48-50)*I48</x:f>
        <x:v>53.5</x:v>
      </x:c>
      <x:c r="K48" s="16" t="n">
        <x:f>D48-E48</x:f>
        <x:v>0</x:v>
      </x:c>
      <x:c r="L48" s="16" t="str">
        <x:v>Major</x:v>
      </x:c>
      <x:c r="M48" s="16" t="n">
        <x:f>IF(L48="Major",1,IF(L48="Moderate",0.7,0.3))</x:f>
        <x:v>1</x:v>
      </x:c>
      <x:c r="N48" s="16" t="n">
        <x:f>MAX(-2.5,MIN(2.5,0.05*(J48-50)*M48))</x:f>
        <x:v>0.17500000000000002</x:v>
      </x:c>
      <x:c r="O48" s="16" t="n">
        <x:v>85</x:v>
      </x:c>
      <x:c r="P48" t="str">
        <x:v>Cybercab/FSD excitement vs slow robotaxi scaling/competition</x:v>
      </x:c>
      <x:c r="Q48" t="str">
        <x:v>https://www.barrons.com/articles/tesla-stock-price-cybercab-b9059add</x:v>
      </x:c>
      <x:c r="R48" t="str"/>
      <x:c r="S48" t="n">
        <x:f>0.05*(50-50)*M48</x:f>
        <x:v>0</x:v>
      </x:c>
      <x:c r="T48" t="n">
        <x:v>2.5</x:v>
      </x:c>
      <x:c r="U48" t="str">
        <x:v>Tactical overlay only; Catalyst Risk is separate.</x:v>
      </x:c>
    </x:row>
  </x:sheetData>
  <x:mergeCells>
    <x:mergeCell ref="A1:U1"/>
  </x:mergeCells>
  <x:conditionalFormatting sqref="J4:J48">
    <x:cfRule type="colorScale" priority="1">
      <x:colorScale>
        <x:cfvo type="min"/>
        <x:cfvo type="percentile" val="50"/>
        <x:cfvo type="max"/>
        <x:color rgb="FFD7B7A3"/>
        <x:color rgb="FFF7F6EF"/>
        <x:color rgb="FFA9C2A3"/>
      </x:colorScale>
    </x:cfRule>
  </x:conditionalFormatting>
  <x:conditionalFormatting sqref="N4:N48">
    <x:cfRule type="colorScale" priority="2">
      <x:colorScale>
        <x:cfvo type="min"/>
        <x:cfvo type="percentile" val="50"/>
        <x:cfvo type="max"/>
        <x:color rgb="FFD7B7A3"/>
        <x:color rgb="FFF7F6EF"/>
        <x:color rgb="FFA9C2A3"/>
      </x:colorScale>
    </x:cfRule>
  </x:conditionalFormatting>
  <x:conditionalFormatting sqref="O4:O48">
    <x:cfRule type="colorScale" priority="3">
      <x:colorScale>
        <x:cfvo type="min"/>
        <x:cfvo type="percentile" val="50"/>
        <x:cfvo type="max"/>
        <x:color rgb="FFA9C2A3"/>
        <x:color rgb="FFEFE5D2"/>
        <x:color rgb="FFD7B7A3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0" hidden="0" customWidth="1"/>
    <x:col min="3" max="3" width="28" hidden="0" customWidth="1"/>
    <x:col min="4" max="4" width="35" hidden="0" customWidth="1"/>
    <x:col min="5" max="5" width="34" hidden="0" customWidth="1"/>
    <x:col min="6" max="6" width="58" hidden="0" customWidth="1"/>
  </x:cols>
  <x:sheetData>
    <x:row r="1">
      <x:c r="A1" s="3" t="str">
        <x:v>45-Company Model — Centered Sentiment Overlay Methodology</x:v>
      </x:c>
      <x:c r="B1" s="3"/>
      <x:c r="C1" s="3"/>
      <x:c r="D1" s="3"/>
      <x:c r="E1" s="3"/>
      <x:c r="F1" s="3"/>
    </x:row>
    <x:row r="3">
      <x:c r="A3" s="9" t="str">
        <x:v>Layer</x:v>
      </x:c>
      <x:c r="B3" s="9" t="str">
        <x:v>Formula / Rule</x:v>
      </x:c>
      <x:c r="C3" s="9" t="str">
        <x:v>Weight / Factor</x:v>
      </x:c>
      <x:c r="D3" s="9" t="str">
        <x:v>Purpose</x:v>
      </x:c>
      <x:c r="E3" s="9" t="str">
        <x:v>Treatment</x:v>
      </x:c>
      <x:c r="F3" s="9" t="str">
        <x:v>Notes</x:v>
      </x:c>
    </x:row>
    <x:row r="4">
      <x:c r="A4" s="14" t="str">
        <x:v>Fundamental Integrated</x:v>
      </x:c>
      <x:c r="B4" s="14" t="str">
        <x:v>30% EQ + 30% Valuation + 15% confidence-adjusted Guidance + 25% Hybrid Scenario</x:v>
      </x:c>
      <x:c r="C4" s="14" t="str">
        <x:v>100% core</x:v>
      </x:c>
      <x:c r="D4" s="14" t="str">
        <x:v>Slow-moving investment attractiveness</x:v>
      </x:c>
      <x:c r="E4" s="14" t="str">
        <x:v>Preserved independently</x:v>
      </x:c>
      <x:c r="F4" s="14" t="str">
        <x:v>Missing guidance is reweighted, not zeroed.</x:v>
      </x:c>
    </x:row>
    <x:row r="5">
      <x:c r="A5" s="14" t="str">
        <x:v>Raw News Sentiment</x:v>
      </x:c>
      <x:c r="B5" s="14" t="str">
        <x:v>20% 7D + 50% 30D + 30% 90D</x:v>
      </x:c>
      <x:c r="C5" s="14" t="str"/>
      <x:c r="D5" s="14" t="str">
        <x:v>Direction of recent news</x:v>
      </x:c>
      <x:c r="E5" s="14" t="str">
        <x:v>0–100; 50 neutral</x:v>
      </x:c>
      <x:c r="F5" s="14" t="str">
        <x:v>Material company-specific events prioritized.</x:v>
      </x:c>
    </x:row>
    <x:row r="6">
      <x:c r="A6" s="14" t="str">
        <x:v>Confidence Adjustment</x:v>
      </x:c>
      <x:c r="B6" s="14" t="str">
        <x:v>50 + (Raw-50) × confidence</x:v>
      </x:c>
      <x:c r="C6" s="14" t="str">
        <x:v>High 1.00 / Medium .85 / Low .65</x:v>
      </x:c>
      <x:c r="D6" s="14" t="str">
        <x:v>Shrink uncertain news toward neutral</x:v>
      </x:c>
      <x:c r="E6" s="14" t="str">
        <x:v>Applied before materiality</x:v>
      </x:c>
      <x:c r="F6" s="14" t="str">
        <x:v>Prevents thin news coverage from creating large moves.</x:v>
      </x:c>
    </x:row>
    <x:row r="7">
      <x:c r="A7" s="14" t="str">
        <x:v>Materiality</x:v>
      </x:c>
      <x:c r="B7" s="14" t="str">
        <x:v>Event classification</x:v>
      </x:c>
      <x:c r="C7" s="14" t="str">
        <x:v>Major 1.00 / Moderate .70 / Minor .30</x:v>
      </x:c>
      <x:c r="D7" s="14" t="str">
        <x:v>Scale economic significance</x:v>
      </x:c>
      <x:c r="E7" s="14" t="str">
        <x:v>Applied to overlay</x:v>
      </x:c>
      <x:c r="F7" s="14" t="str">
        <x:v>A clinical/regulatory/legal event can matter more than routine commentary.</x:v>
      </x:c>
    </x:row>
    <x:row r="8">
      <x:c r="A8" s="14" t="str">
        <x:v>Centered Overlay</x:v>
      </x:c>
      <x:c r="B8" s="14" t="str">
        <x:v>MAX(-2.5, MIN(2.5, 0.05 × (Adjusted News - 50) × Materiality))</x:v>
      </x:c>
      <x:c r="C8" s="14" t="str">
        <x:v>±2.5 point cap</x:v>
      </x:c>
      <x:c r="D8" s="14" t="str">
        <x:v>Tactical score adjustment</x:v>
      </x:c>
      <x:c r="E8" s="14" t="str">
        <x:v>Neutral 50 = exactly zero impact</x:v>
      </x:c>
      <x:c r="F8" s="14" t="str">
        <x:v>This replaces 95% Fundamental + 5% Sentiment.</x:v>
      </x:c>
    </x:row>
    <x:row r="9">
      <x:c r="A9" s="14" t="str">
        <x:v>Opportunity Score</x:v>
      </x:c>
      <x:c r="B9" s="14" t="str">
        <x:v>Fundamental Integrated + Centered Overlay</x:v>
      </x:c>
      <x:c r="C9" s="14" t="str"/>
      <x:c r="D9" s="14" t="str">
        <x:v>Final research ranking</x:v>
      </x:c>
      <x:c r="E9" s="14" t="str">
        <x:v>Does not rescale Fundamental</x:v>
      </x:c>
      <x:c r="F9" s="14" t="str">
        <x:v>Strong fundamentals remain strong when news is neutral.</x:v>
      </x:c>
    </x:row>
    <x:row r="10">
      <x:c r="A10" s="14" t="str">
        <x:v>Sentiment Momentum</x:v>
      </x:c>
      <x:c r="B10" s="14" t="str">
        <x:v>7D - 30D</x:v>
      </x:c>
      <x:c r="C10" s="14" t="str"/>
      <x:c r="D10" s="14" t="str">
        <x:v>Acceleration/deceleration</x:v>
      </x:c>
      <x:c r="E10" s="14" t="str">
        <x:v>Displayed separately</x:v>
      </x:c>
      <x:c r="F10" s="14" t="str">
        <x:v>Positive = improving short-term news tone.</x:v>
      </x:c>
    </x:row>
    <x:row r="11">
      <x:c r="A11" s="14" t="str">
        <x:v>Catalyst Risk</x:v>
      </x:c>
      <x:c r="B11" s="14" t="str">
        <x:v>0–100 analyst event-risk score</x:v>
      </x:c>
      <x:c r="C11" s="14" t="str"/>
      <x:c r="D11" s="14" t="str">
        <x:v>Magnitude of upcoming uncertainty</x:v>
      </x:c>
      <x:c r="E11" s="14" t="str">
        <x:v>NOT included in Opportunity Score</x:v>
      </x:c>
      <x:c r="F11" s="14" t="str">
        <x:v>High risk can mean large upside or downside.</x:v>
      </x:c>
    </x:row>
    <x:row r="12">
      <x:c r="A12" s="14" t="str">
        <x:v>Quadrant</x:v>
      </x:c>
      <x:c r="B12" s="14" t="str">
        <x:v>Fundamental vs Adjusted Sentiment</x:v>
      </x:c>
      <x:c r="C12" s="14" t="str"/>
      <x:c r="D12" s="14" t="str">
        <x:v>Interpretability</x:v>
      </x:c>
      <x:c r="E12" s="14" t="str">
        <x:v>Displayed separately</x:v>
      </x:c>
      <x:c r="F12" s="14" t="str">
        <x:v>Supported / contrarian / momentum-risk / weak setup.</x:v>
      </x:c>
    </x:row>
    <x:row r="13">
      <x:c r="A13" s="14" t="str">
        <x:v>Hybrid Scenario</x:v>
      </x:c>
      <x:c r="B13" s="14" t="str">
        <x:v>Market-multiple + fundamental valuation</x:v>
      </x:c>
      <x:c r="C13" s="14" t="str"/>
      <x:c r="D13" s="14" t="str">
        <x:v>Bear/Base/Bull economic asymmetry</x:v>
      </x:c>
      <x:c r="E13" s="14" t="str">
        <x:v>Unchanged</x:v>
      </x:c>
      <x:c r="F13" s="14" t="str">
        <x:v>QQQ uses DCF + historical multiple; healthcare uses company-specific scenario framework.</x:v>
      </x:c>
    </x:row>
    <x:row r="14">
      <x:c r="A14" s="14" t="str">
        <x:v>Snapshot date</x:v>
      </x:c>
      <x:c r="B14" s="14" t="str">
        <x:v>September 1, 2026</x:v>
      </x:c>
      <x:c r="C14" s="14" t="str"/>
      <x:c r="D14" s="14" t="str">
        <x:v>News/catalyst snapshot</x:v>
      </x:c>
      <x:c r="E14" s="14" t="str"/>
      <x:c r="F14" s="14" t="str">
        <x:v>Re-score when material news changes.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0" hidden="0" customWidth="1"/>
    <x:col min="3" max="3" width="25" hidden="0" customWidth="1"/>
    <x:col min="4" max="4" width="70" hidden="0" customWidth="1"/>
    <x:col min="5" max="5" width="28" hidden="0" customWidth="1"/>
  </x:cols>
  <x:sheetData>
    <x:row r="1">
      <x:c r="A1" s="3" t="str">
        <x:v>Source / Reconstruction Notes</x:v>
      </x:c>
      <x:c r="B1" s="3"/>
      <x:c r="C1" s="3"/>
      <x:c r="D1" s="3"/>
      <x:c r="E1" s="3"/>
    </x:row>
    <x:row r="3">
      <x:c r="A3" s="9" t="str">
        <x:v>Area</x:v>
      </x:c>
      <x:c r="B3" s="9" t="str">
        <x:v>Basis</x:v>
      </x:c>
      <x:c r="C3" s="9" t="str">
        <x:v>Date / Window</x:v>
      </x:c>
      <x:c r="D3" s="9" t="str">
        <x:v>Caveat</x:v>
      </x:c>
      <x:c r="E3" s="9" t="str">
        <x:v>Use</x:v>
      </x:c>
    </x:row>
    <x:row r="4">
      <x:c r="A4" s="14" t="str">
        <x:v>QQQ fundamentals</x:v>
      </x:c>
      <x:c r="B4" s="14" t="str">
        <x:v>Reconstructed from the full 20-quarter raw metric arrays and guidance observations retained in the conversation</x:v>
      </x:c>
      <x:c r="C4" s="14" t="str">
        <x:v>20Q through latest 2026 reporting</x:v>
      </x:c>
      <x:c r="D4" s="14" t="str">
        <x:v>Screening-grade DCF and historical multiple assumptions</x:v>
      </x:c>
      <x:c r="E4" s="14" t="str">
        <x:v>Primary fundamental input</x:v>
      </x:c>
    </x:row>
    <x:row r="5">
      <x:c r="A5" s="14" t="str">
        <x:v>Healthcare fundamentals</x:v>
      </x:c>
      <x:c r="B5" s="14" t="str">
        <x:v>Established EQ/valuation screening inputs, annual guidance backtests and company-specific Bear/Base/Bull scenarios retained in the conversation</x:v>
      </x:c>
      <x:c r="C5" s="14" t="str">
        <x:v>FY2021–FY2025 guidance; Aug. 28, 2026 price reference</x:v>
      </x:c>
      <x:c r="D5" s="14" t="str">
        <x:v>Original historical-ratio artifact was not mounted in this execution; standardized market leg is conservatively reconstructed</x:v>
      </x:c>
      <x:c r="E5" s="14" t="str">
        <x:v>Primary fundamental input</x:v>
      </x:c>
    </x:row>
    <x:row r="6">
      <x:c r="A6" s="14" t="str">
        <x:v>News sentiment</x:v>
      </x:c>
      <x:c r="B6" s="14" t="str">
        <x:v>Previously researched Sep. 1, 2026 material company-specific news snapshot</x:v>
      </x:c>
      <x:c r="C6" s="14" t="str">
        <x:v>7D / 30D / 90D</x:v>
      </x:c>
      <x:c r="D6" s="14" t="str">
        <x:v>Structured analyst judgment, not automated NLP</x:v>
      </x:c>
      <x:c r="E6" s="14" t="str">
        <x:v>Tactical overlay</x:v>
      </x:c>
    </x:row>
    <x:row r="7">
      <x:c r="A7" s="14" t="str">
        <x:v>Materiality</x:v>
      </x:c>
      <x:c r="B7" s="14" t="str">
        <x:v>Major / Moderate / Minor event class</x:v>
      </x:c>
      <x:c r="C7" s="14" t="str">
        <x:v>Current snapshot</x:v>
      </x:c>
      <x:c r="D7" s="14" t="str">
        <x:v>Judgment-based; should be refreshed after material events</x:v>
      </x:c>
      <x:c r="E7" s="14" t="str">
        <x:v>Scales overlay</x:v>
      </x:c>
    </x:row>
    <x:row r="8">
      <x:c r="A8" s="14" t="str">
        <x:v>Catalyst Risk</x:v>
      </x:c>
      <x:c r="B8" s="14" t="str">
        <x:v>0–100 event uncertainty score</x:v>
      </x:c>
      <x:c r="C8" s="14" t="str">
        <x:v>Current snapshot</x:v>
      </x:c>
      <x:c r="D8" s="14" t="str">
        <x:v>Direction-neutral; not part of Opportunity Score</x:v>
      </x:c>
      <x:c r="E8" s="14" t="str">
        <x:v>Separate risk flag</x:v>
      </x:c>
    </x:row>
    <x:row r="9">
      <x:c r="A9" s="14" t="str">
        <x:v>Overlay formula</x:v>
      </x:c>
      <x:c r="B9" s="14" t="str">
        <x:v>0.05 × (Adjusted Sentiment - 50) × Materiality, capped ±2.5</x:v>
      </x:c>
      <x:c r="C9" s="14" t="str">
        <x:v>Current model</x:v>
      </x:c>
      <x:c r="D9" s="14" t="str">
        <x:v>Neutral news has zero impact</x:v>
      </x:c>
      <x:c r="E9" s="14" t="str">
        <x:v>Opportunity score</x:v>
      </x:c>
    </x:row>
  </x:sheetData>
  <x:mergeCells>
    <x:mergeCell ref="A1:E1"/>
  </x:mergeCells>
  <x:pageMargins left="0.7" right="0.7" top="0.75" bottom="0.75" header="0.3" footer="0.3"/>
</x:worksheet>
</file>